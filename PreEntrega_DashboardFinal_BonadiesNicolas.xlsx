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B3840B70-F660-4FE5-AE1F-6F746C33DFE7}" xr6:coauthVersionLast="47" xr6:coauthVersionMax="47" xr10:uidLastSave="{00000000-0000-0000-0000-000000000000}"/>
  <bookViews>
    <workbookView xWindow="-108" yWindow="-108" windowWidth="23256" windowHeight="12456" xr2:uid="{CE117D69-A794-469A-B3C6-E2C0173A2EE6}"/>
  </bookViews>
  <sheets>
    <sheet name="Dashboard Final" sheetId="6" r:id="rId1"/>
    <sheet name="Resumen del escenario " sheetId="5" state="hidden" r:id="rId2"/>
    <sheet name="Análisis_Estadistico" sheetId="3" state="hidden" r:id="rId3"/>
    <sheet name="DimClientes" sheetId="2" state="hidden" r:id="rId4"/>
  </sheets>
  <definedNames>
    <definedName name="_xlchart.v5.0" hidden="1">DimClientes!$C$1:$D$1</definedName>
    <definedName name="_xlchart.v5.1" hidden="1">DimClientes!$C$2:$D$6</definedName>
    <definedName name="_xlchart.v5.2" hidden="1">DimClientes!$E$1</definedName>
    <definedName name="_xlchart.v5.3" hidden="1">DimClientes!$E$2:$E$6</definedName>
    <definedName name="_xlcn.WorksheetConnection_PreEntrega_ModeloBI_BonadiesNicolas1.xlsxDimClientes1" hidden="1">DimClientes[]</definedName>
    <definedName name="SegmentaciónDeDatos_Ciudad">#N/A</definedName>
    <definedName name="SegmentaciónDeDatos_Fecha">#N/A</definedName>
    <definedName name="SegmentaciónDeDatos_Nombre_Cliente">#N/A</definedName>
    <definedName name="Total_Ventas">Análisis_Estadistico!$B$5</definedName>
    <definedName name="Variacion_Ventas">Análisis_Estadistico!$I$2</definedName>
  </definedNames>
  <calcPr calcId="191029"/>
  <pivotCaches>
    <pivotCache cacheId="195" r:id="rId5"/>
  </pivotCaches>
  <extLst>
    <ext xmlns:x14="http://schemas.microsoft.com/office/spreadsheetml/2009/9/main" uri="{876F7934-8845-4945-9796-88D515C7AA90}">
      <x14:pivotCaches>
        <pivotCache cacheId="159" r:id="rId6"/>
      </x14:pivotCaches>
    </ex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_Historico_ff0d9e5c-cae1-49b3-9a27-bdd40044e30f" name="Ventas_Historico" connection="Consulta - Ventas_Historico"/>
          <x15:modelTable id="DimClientes_ecccf13b-7156-44bb-b99c-fd4843b3b212" name="DimClientes" connection="Consulta - DimClientes"/>
          <x15:modelTable id="DimClientes 1" name="DimClientes 1" connection="WorksheetConnection_PreEntrega_ModeloBI_BonadiesNicolas (1).xlsx!DimClientes"/>
        </x15:modelTables>
        <x15:modelRelationships>
          <x15:modelRelationship fromTable="Ventas_Historico" fromColumn="Cantidad" toTable="DimClientes" toColumn="Ciudad"/>
          <x15:modelRelationship fromTable="Ventas_Historico" fromColumn="ID_Cliente" toTable="DimClientes 1" toColumn="ID_Clien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3" l="1"/>
  <c r="H11" i="3"/>
  <c r="H9" i="3"/>
  <c r="H1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1365B5-9199-4B71-A19A-5F55C98AC817}" name="Consulta - DimClientes" description="Conexión a la consulta 'DimClientes' en el libro." type="100" refreshedVersion="8" minRefreshableVersion="5">
    <extLst>
      <ext xmlns:x15="http://schemas.microsoft.com/office/spreadsheetml/2010/11/main" uri="{DE250136-89BD-433C-8126-D09CA5730AF9}">
        <x15:connection id="d6e55223-ae13-4045-9d0a-4c550d60932c"/>
      </ext>
    </extLst>
  </connection>
  <connection id="2" xr16:uid="{A800821D-A810-4DFF-916F-BC9C2547344A}" name="Consulta - Ventas_Historico" description="Conexión a la consulta 'Ventas_Historico' en el libro." type="100" refreshedVersion="8" minRefreshableVersion="5">
    <extLst>
      <ext xmlns:x15="http://schemas.microsoft.com/office/spreadsheetml/2010/11/main" uri="{DE250136-89BD-433C-8126-D09CA5730AF9}">
        <x15:connection id="311d8c34-cbcb-4178-bb07-8192e8579a96"/>
      </ext>
    </extLst>
  </connection>
  <connection id="3" xr16:uid="{A2BEDC3F-A1C1-4540-A989-C5DCFC47AEB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BCDC6D9-6D8B-4334-A5A5-316C36AF1C49}" name="WorksheetConnection_PreEntrega_ModeloBI_BonadiesNicolas (1).xlsx!DimClientes" type="102" refreshedVersion="8" minRefreshableVersion="5">
    <extLst>
      <ext xmlns:x15="http://schemas.microsoft.com/office/spreadsheetml/2010/11/main" uri="{DE250136-89BD-433C-8126-D09CA5730AF9}">
        <x15:connection id="DimClientes 1">
          <x15:rangePr sourceName="_xlcn.WorksheetConnection_PreEntrega_ModeloBI_BonadiesNicolas1.xlsxDimClientes1"/>
        </x15:connection>
      </ext>
    </extLst>
  </connection>
</connections>
</file>

<file path=xl/sharedStrings.xml><?xml version="1.0" encoding="utf-8"?>
<sst xmlns="http://schemas.openxmlformats.org/spreadsheetml/2006/main" count="51" uniqueCount="45">
  <si>
    <t>ID_Cliente</t>
  </si>
  <si>
    <t>Nombre_Cliente</t>
  </si>
  <si>
    <t>Ciudad</t>
  </si>
  <si>
    <t>CLI001</t>
  </si>
  <si>
    <t>Ana Gómez</t>
  </si>
  <si>
    <t>Buenos Aires</t>
  </si>
  <si>
    <t>CLI002</t>
  </si>
  <si>
    <t>Carlos López</t>
  </si>
  <si>
    <t>Córdoba</t>
  </si>
  <si>
    <t>CLI003</t>
  </si>
  <si>
    <t>María Rodríguez</t>
  </si>
  <si>
    <t>Rosario</t>
  </si>
  <si>
    <t>CLI004</t>
  </si>
  <si>
    <t>Juan Pérez</t>
  </si>
  <si>
    <t>Mendoza</t>
  </si>
  <si>
    <t>CLI005</t>
  </si>
  <si>
    <t>Lucía Fernández</t>
  </si>
  <si>
    <t>Salta</t>
  </si>
  <si>
    <t>Total Ventas</t>
  </si>
  <si>
    <t>Total Costos</t>
  </si>
  <si>
    <t>Margen Operativo</t>
  </si>
  <si>
    <t>Promedio Venta</t>
  </si>
  <si>
    <t>Desviacion Estandar</t>
  </si>
  <si>
    <t>Pesimista</t>
  </si>
  <si>
    <t>Creado por Nicolás Bonadies el 27/9/2026</t>
  </si>
  <si>
    <t>Base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</si>
  <si>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</si>
  <si>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</si>
  <si>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</si>
  <si>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</si>
  <si>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</si>
  <si>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</si>
  <si>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</si>
  <si>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</si>
  <si>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Variacion Ventas (%)</t>
  </si>
  <si>
    <t>Variacion_Ventas</t>
  </si>
  <si>
    <t>Total_Ventas</t>
  </si>
  <si>
    <t xml:space="preserve"> Ventas Totales Aux</t>
  </si>
  <si>
    <t>Margen Operativo Aux</t>
  </si>
  <si>
    <t>Crecimiento Aux</t>
  </si>
  <si>
    <t>Meta de Ventas (Presupuesto)</t>
  </si>
  <si>
    <t>% Cumplimiento Meta</t>
  </si>
  <si>
    <t>Ventas</t>
  </si>
  <si>
    <t>País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</si>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</sst>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\$\ #,##0.00;\-\$\ #,##0.00;\$\ #,##0.00"/>
    <numFmt numFmtId="165" formatCode="0.00\ %;\-0.00\ %;0.00\ 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2" xfId="0" applyBorder="1"/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4" xfId="0" applyBorder="1"/>
    <xf numFmtId="0" fontId="4" fillId="3" borderId="0" xfId="0" applyFont="1" applyFill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7" fillId="0" borderId="0" xfId="0" applyFont="1" applyAlignment="1">
      <alignment vertical="top" wrapText="1"/>
    </xf>
    <xf numFmtId="9" fontId="0" fillId="5" borderId="0" xfId="1" applyFont="1" applyFill="1"/>
    <xf numFmtId="0" fontId="2" fillId="5" borderId="0" xfId="0" applyFont="1" applyFill="1"/>
    <xf numFmtId="9" fontId="0" fillId="0" borderId="0" xfId="0" applyNumberFormat="1"/>
    <xf numFmtId="9" fontId="0" fillId="4" borderId="0" xfId="0" applyNumberFormat="1" applyFill="1"/>
    <xf numFmtId="0" fontId="9" fillId="6" borderId="0" xfId="0" applyFont="1" applyFill="1"/>
    <xf numFmtId="0" fontId="0" fillId="6" borderId="0" xfId="0" applyFill="1"/>
    <xf numFmtId="0" fontId="8" fillId="6" borderId="0" xfId="0" applyFont="1" applyFill="1" applyAlignment="1">
      <alignment horizontal="left" vertical="top"/>
    </xf>
    <xf numFmtId="44" fontId="0" fillId="0" borderId="0" xfId="0" applyNumberFormat="1"/>
    <xf numFmtId="44" fontId="0" fillId="0" borderId="0" xfId="2" applyFont="1"/>
    <xf numFmtId="0" fontId="2" fillId="6" borderId="0" xfId="0" applyFont="1" applyFill="1"/>
    <xf numFmtId="44" fontId="2" fillId="6" borderId="0" xfId="2" applyFont="1" applyFill="1"/>
    <xf numFmtId="9" fontId="2" fillId="6" borderId="0" xfId="1" applyFont="1" applyFill="1"/>
    <xf numFmtId="0" fontId="0" fillId="0" borderId="0" xfId="0" applyNumberFormat="1"/>
  </cellXfs>
  <cellStyles count="3">
    <cellStyle name="Moneda" xfId="2" builtinId="4"/>
    <cellStyle name="Normal" xfId="0" builtinId="0"/>
    <cellStyle name="Porcentaje" xfId="1" builtinId="5"/>
  </cellStyles>
  <dxfs count="28"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[PreEntrega_DashboardFinal_BonadiesNicolas.xlsx]Análisis_Estadistico!TablaDinámica1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477602799650044"/>
          <c:y val="0.23246635393980009"/>
          <c:w val="0.48053062117235346"/>
          <c:h val="0.651442173451722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Análisis_Estadistico!$A$3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Análisis_Estadistico!$A$4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Análisis_Estadistico!$A$4</c:f>
              <c:numCache>
                <c:formatCode>_("$"* #,##0.00_);_("$"* \(#,##0.00\);_("$"* "-"??_);_(@_)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CF8-4CF5-AB15-2A906DA9D489}"/>
            </c:ext>
          </c:extLst>
        </c:ser>
        <c:ser>
          <c:idx val="1"/>
          <c:order val="1"/>
          <c:tx>
            <c:strRef>
              <c:f>Análisis_Estadistico!$B$3</c:f>
              <c:strCache>
                <c:ptCount val="1"/>
                <c:pt idx="0">
                  <c:v>Total Costos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Análisis_Estadistico!$A$4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Análisis_Estadistico!$B$4</c:f>
              <c:numCache>
                <c:formatCode>\$\ #,##0.00;\-\$\ #,##0.00;\$\ #,##0.00</c:formatCode>
                <c:ptCount val="1"/>
                <c:pt idx="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CF8-4CF5-AB15-2A906DA9D489}"/>
            </c:ext>
          </c:extLst>
        </c:ser>
        <c:ser>
          <c:idx val="2"/>
          <c:order val="2"/>
          <c:tx>
            <c:strRef>
              <c:f>Análisis_Estadistico!$C$3</c:f>
              <c:strCache>
                <c:ptCount val="1"/>
                <c:pt idx="0">
                  <c:v>Margen Operativo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Análisis_Estadistico!$A$4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Análisis_Estadistico!$C$4</c:f>
              <c:numCache>
                <c:formatCode>0.00\ %;\-0.00\ %;0.00\ 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CF8-4CF5-AB15-2A906DA9D489}"/>
            </c:ext>
          </c:extLst>
        </c:ser>
        <c:ser>
          <c:idx val="3"/>
          <c:order val="3"/>
          <c:tx>
            <c:strRef>
              <c:f>Análisis_Estadistico!$D$3</c:f>
              <c:strCache>
                <c:ptCount val="1"/>
                <c:pt idx="0">
                  <c:v>Promedio Venta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Análisis_Estadistico!$A$4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Análisis_Estadistico!$D$4</c:f>
              <c:numCache>
                <c:formatCode>_("$"* #,##0.00_);_("$"* \(#,##0.00\);_("$"* "-"??_);_(@_)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CF8-4CF5-AB15-2A906DA9D489}"/>
            </c:ext>
          </c:extLst>
        </c:ser>
        <c:ser>
          <c:idx val="4"/>
          <c:order val="4"/>
          <c:tx>
            <c:strRef>
              <c:f>Análisis_Estadistico!$E$3</c:f>
              <c:strCache>
                <c:ptCount val="1"/>
                <c:pt idx="0">
                  <c:v>Desviacion Estandar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Análisis_Estadistico!$A$4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Análisis_Estadistico!$E$4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CF8-4CF5-AB15-2A906DA9D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7535903"/>
        <c:axId val="2047631311"/>
      </c:barChart>
      <c:catAx>
        <c:axId val="1037535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7631311"/>
        <c:crosses val="autoZero"/>
        <c:auto val="1"/>
        <c:lblAlgn val="ctr"/>
        <c:lblOffset val="100"/>
        <c:noMultiLvlLbl val="0"/>
      </c:catAx>
      <c:valAx>
        <c:axId val="204763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3753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AR" sz="1200"/>
              <a:t>Concentración de Mercado: Buenos Aires lidera el volumen global de ventas</a:t>
            </a:r>
            <a:endParaRPr lang="es-MX" sz="1200" b="0" i="0" u="none" strike="noStrike" baseline="0">
              <a:solidFill>
                <a:sysClr val="window" lastClr="FFFFFF">
                  <a:lumMod val="95000"/>
                </a:sysClr>
              </a:solidFill>
              <a:latin typeface="Aptos Narrow" panose="02110004020202020204"/>
            </a:endParaRPr>
          </a:p>
        </cx:rich>
      </cx:tx>
      <cx:extLst>
        <cx:ext uri="ext:featex">
          <cx:featureExtension feature="mp" drop="onModelChange">
            <cx:offset top="-0.0083333328366279602" left="-0.066666662693023682"/>
          </cx:featureExtension>
        </cx:ext>
      </cx:extLst>
    </cx:title>
    <cx:plotArea>
      <cx:plotAreaRegion>
        <cx:series layoutId="regionMap" uniqueId="{00000000-DFAA-4677-BE21-C0B505BEC832}">
          <cx:tx>
            <cx:txData>
              <cx:f>_xlchart.v5.2</cx:f>
              <cx:v>Ventas</cx:v>
            </cx:txData>
          </cx:tx>
          <cx:dataId val="0"/>
          <cx:layoutPr>
            <cx:geography cultureLanguage="es-MX" cultureRegion="AR" attribution="Con tecnología de Bing">
              <cx:geoCache provider="{E9337A44-BEBE-4D9F-B70C-5C5E7DAFC167}">
                <cx:binary>nH1pk9w2su1fcfjz4xgkVk7cuRGXtbY2S17k5QtDI8kEsXIBF/DXv2zfmQk1LFvvQeEIyV1dWahE
nsxE5kHyv97vf39vPr6bvtqtcfPf3+//+FqGMPz9m2/m9/KjfTf/zfbvJz/738Lf3nv7jf/tt/79
x28+TO+23nXfVKgk37yX76bwcf/6v/8LpHUf/Qv//l3ovXuzfJzidx/nxYT5L1777EtfvfeLC49v
70DSP77+n6n76ELv3n391ePfIf4Qh4//+PrJb3391TeprD987lcGlhaWD/DeApO/1TUjtShR/fsf
/vVXxrvu368zeJ3xStCSod//4H9/+Kt3FgT8P63p9xW9+/Bh+jjPX/3r7ydvffIVnrzSz/70v1o4
+ccF/893v3/Db55q+b//K/kBfOfkJ59sxF+99h9lnd+Fd5fftfzJO//61X8rPnnrX23W/+7jw4d/
fF2Wn2zdo4R/ve1P1Pzvt3x8NwfYxop+/dX28fd/cvin81OQjz8u/8ZFTRAqEeJIICS+/mr2y++v
Cfo3RGDLKakqzHAlyv8Y72tvYufdf77tv/7/K7fY1753Yf7H1+Trr4b//a3HlcAHEU54yR4/fHj/
7jvABfxS+X/IuPjWt9JcOrP8dNTxn+3y9pMv+v8h+fETP5FsaIcCWUAyfGqj+r05JtHkiQab/lR0
f8RAxh3rS6z5a4SL16bERabs6qnsYeGVa3WrL2jDx0tPq/3URsPOeSsHo/l05W1Z8tn0Ql/K9Yo8
PXX9dMmTjJ5K9gqpPYpSX47drc8Oh5az0bH+Pks6q59Kr9rp2Bz35jJsEz/1RB1nVpCf8oSDkX+q
FB4l3wjb9WWxmt07F95tSIs8vTDwj58KP8Tck5Ejc8Hz2LTd8aKfunveutlT0dTtuwgomIupb/X8
zvR5yGEJJmHbhqEmVF/mbq5ezdQt77Hq0X7KW3YCzFasXKh+MZcl4gcIXz9oyjNFJ8Dk4zZuzDhz
UWLZn3u1lC9bUbzKW3eCTBo4WaYIapHV+3HoTqyjeZhnKSoZa3euKthI5Ro2CNOQwppM4Qkw+3XW
M/FcX/ph/Lat1u5Ohx1ds3RCE1wiLPwwl4O5TDGa98dku4dZVfVDnvQEmMQQvft1Nhf68zGc8JCn
EZpAshW0ir0Csds8uGYqR3UiR5mHd5qA0mHBRu7ASrpd3aZuqxq77rkrT5C56jIMYz+Zy8q7uTF7
3542sYyZ6k6AKZ1pj26D4CBqAw5F9CfGyZSp9ASah7XH1s2HufCut2dCmWsiDyFz6dVTV8iqZbGH
B+mDejEvP/jhWZ4FJsgkFXHqKKK59NX60rZGNZMbvs2TnQCT4UOi+iDqIgh+8Nrad9JT/GuWcJIA
c2RinvcNq4tiTP86MTTrpp4nl4d7kiDzsKgfe8LUpZ3767F5co9lsd/y1p7g0/i4lB0CxVTG+HNL
nb6vLGTGCJIAVJUEBadse56moUFkO1Xrh7x1J+iEY9CoZB/UZV7I3NCFfMDtmgcfkmDThUMVRor+
IgZ0tvvwqyzVlik7gWbZUj4eeFSXsmKk6af5brkdznlKSZAZVh7iNMHC9dY9s5iqxij9Jk92gs5V
SGcrCgtXIBZh9+Ns7es80Qk43Y55LRyInnjgDwHzZ2jaeR56cAJObaIk0wzCrVQNpeeJ5K0aJ7Dc
ZzJPFuLZJZrtJCtw3oyrMs9McALLWfkpIibBTMaCnGaJyIXV8ccsfeMElaYtBqcXqy5MGWJubVlH
+gv3mx/ysjecgJNzHwYZjLrII5xE8ZOccOZuJtCMvFj2FoNkX8RnoRvKxs7HD3lqSaA5UKmWlR/y
ouz2z6JYXrR0GE95shNkesSXfZdYXla8s+8U2n8ktKte5AlPoNm6se9xvfSXrpQvXRHg3IO2OS8q
4wScdRUKRHor4TT4ceoehMs7UFUJLmcszbh2ILfd0AnVxXlfdJ75VQkyXTBwpCy1vGzusinT1CIz
saoSWFYdKVUcjbygXuxn7NwvcKCVeZivEli2g4ZlByovfdDuIoq5bryd8hKgxxrUp0djV6Aa9yUI
H/pfajlcpER56WCVQLJAg1IdJhKsbxfNNJQ1lAtKn2fbVQJKpBAdNgHS2254AQB6UwVfZSo8AWWY
tq5YCgDl3r2DoKybdtG5m5lg0oi+3Bb7aCmm8hfRhbdzV4tM7CSY3NbeVlUHwnmgjaK3ymemPmWC
yoVWcHaIYCabCidao61ZmFZ5TrBMcFlCYTLIFfRtxYgaZX116upiy7PDMsGmUnuhYlHJSxVX26Ct
U6dh79dblo8tE3DSdV3WXYB0j7ZXRm8fx6NgeXZYJthU7dSulQRXOBWCNDUhF33MbabSE3iSTmzr
KJm8sLFSZ2gthFNpR5kHzzKBZzV1S4ciLF0Uw+kYXrPh5zx9J9icrDhC13F5wX2hGrXV65t1EyJT
eoLOYqsGpaUHrxKPRpq26cSbvHUn0Oz85jY9gmQ1qnOc7uY48qwEJdCcYltvYw2SbeFlI/E/9wUq
WFmrfmw9fBodOEfRFI9xTW9TeZaRutOy25d5whNgDqPAxvsZoLPUe7Me63mtRaYPRwku5WyYlcUI
wsOLPt7smpf2oASTvILOzHos8hJ8fDEY8/JYL3nqSACJJnHsog6wYtOUXTPnBXiUINGRbZnlPEH2
IPYHVobnuJXnvBUnWKzH4ISUK2DxYM/s9hLH/nme5ASHJmK07QTCzSiV+k7i+Ue3OJ3nm1ACxd1O
neY7bKE35PtJvBzGNst90DqB4k4wDxOBQEbiD91ycTLL6GidwLA0pJimGWBYkvJ9LI/mOHBe6krr
BIWhZl0IFsxuH9rl1uo4nvBWd1kOhNYJDG1n9Iz2R6P2xXQ5Kt+exVJkhTBaJ1jEluPoRwfCOze8
42IoX0h6FHPm2hNAmppNq6pB/DIeolnlfgtdgTPXnsBy6AISo4f8lepp/Olo/cKumC90z0IQrRNs
dgjpQnUD5A5GvdHl3igR7zngpHUCTr9yadYZ8GNteZcmulNvdV51HTLJpxHHj2zl0/YITnvjJH4b
9yEr3FCRgDMqTHtSATixE3ftjvGG8K6uWToRCUK11WpmGLxsDNUQr7w74txwteyZxigSmE7IRjil
wQdMBTmea7N8UGNFvstbfYLSZTgGXG0I/Fb5A+VzU+55vW4qEogurak28ugRK1mfJG7nE6stygOo
SADKR98X+w7Czebvsn95FH1WVk9Fgk4jqgClTHBbWsyvjSjKK5ORZ4VNKhJo8niUVesWflnrsL5Y
EHIvRuglZaURFBghT1I2hoZO23Cwa6+m7jytxD3EbaSZ0hN4alcqCEWBXbt1sLd6CsdDG7qYp3ae
QJTzIexl6METttt6wryLF8nUnrd2nmK0EEfc6olddT0v96k7yusOx/w8h84TgKLWFvXkRnYVy2Bf
1bQ7ziaqkLn2BKGOtn1s245dpV5RQ/FsboUsv2Tuj1L+SACiKQHIQaBztFDsapVX7/mxH6/VjI/G
j6O6lkPP8lwwTwDLtNzDgDi98nYqn0P0Rk3bd20erngCWh9ltW/Rw7eomXszkhE/aFPrPGfDE9Qi
yBnH/RjYNSz78oYW4343ku+vszwwT1DbixpzShy7botgJ7UG8bMly5Kp9wS1kz3krhfDri5W6l5o
iV+vYwhvstae8oK4tXWoAliP15VvHNL25VbRIi+RYQlqC1fgEXHQjFWL8M3AxuMlCrTIXHwK27kl
RSxAvKhKfx0LUZ6t6L5EUvsTYKV9TqGq3ltasevajtMPQBVSd1v2P6DSv9N+FHmGT+hTl79zaY92
sOxKyir+PJRoelPbOvZ5ls8S38PLKATrwfK3Ub4Zi92+GFaxZR1P6R94ThjKn6oD09S97Z/hme73
FrHMrIklDoei0tauA6dMyT7+QL2rfpO+55mKSRxOv3b9uHegmD0s9twi7u8LpK6Zhp84nBrNmPtH
l29FDNd986yZ2MHyQm1Kd7I4aiu3ll67ZZG3XRhyWQXSD3kuIXE4BEiHaiKQJgSlq+u84nCZif0S
qh537zPhKiU89Rt0FRZZwNrpuJ8D2uzzhdE85h2licNhehxnxQFNlK7VHXJKcTqqqK9Zmkl5T/sx
slksCMDUz8u3knbd+cClz0sTUuKTJVgAW2tj12lz340FJc8WR9g9b+mJm1m0dkO1reyKgv+g56F+
wEH5TOEJUjsrjESHoNfFUHbusF5usijyCL2UJkjFy9gfmu3sGh2Sv47E4JviQ5/VV6Q0QaomasLG
YnYtgyhutiX8WRHxktcyojTJDZws6kGRGeLruMRTK3BsDN9tHlRpAtWWhWhKV9NrpSw6WRfZSRyq
zXMzKQVqbYdB4QqgSrQtvm+BLXsuB1HbPA+cUqAEX8i+YjDJCfrzz5Xr9xOy+5qX0pMkN6hMHeyu
AU1jX7EGWd1fCyHJFyz+ETaf8WIpm6gnhENzHnKDqfbu1dQad4I6FpjOyIc9Uz+J3cuBCVA5o1c8
7OyhlkX3MwTB7X2WQyCJ3bu1dyX8R69MLP19KHt+m0OZV12mJDF7y1VfFSuh1+MQ6rZPxF7rlbV5
fpgkZl91sHAIGvQqup7DObDlN6AGmKwSM03JRYbqBc6YEEMkKdiFzFV/AT53lWeXKcOISlSMgRz0
GpncLs7F7YT1WGdKT6yeIiHZfMAhvJg7e/f91DYHHY68fDvlGElWc857w6+RgqcBwqK4cyHyemE0
JRiVod36TkHOhIIdPuzDzJ5vnYs/ZNk7TmJUoLpdywFypoCr6lIVW32fQs/z8j2cYHVFI7iNAnJV
FdZozoXi08eh81UeCZDiBK07Z9NGI8ifY6xIIw7Ob+1KikxfgxO87sWgnROAV2BkhJ8EmvsXh/Fr
nrdM6UZApF179miVvWXj3kioTJzr2tffriOf1Dlrg1Pu0QqtCVVxza8Y+sDnmUzDK7+V6nWedPH0
mAYHnUO4FipznRnHplJEnsoSmvp50hPYsn1jOxogsYzARPgRIuHUAGWDfJ8nPTkDUjCTSHbIQWa0
rc+hnRiuxxTyeIE0JSGJupz03lF2ZUCNKU8O7nGOJ/A8uM1roKVcpBK67aYDh3MdbXW8XURLfptq
kVm8SblI2uFtXSmHnH7d9+9XR8pvydyZL1j+o3f5TJ5QJbi1la80LwSovirD67WI5Ylb4/PiYJWg
ViBayMLN/FqHzbcPrSj99wEMtcg0yyTOFnCta0CVra90WuqmhZtv1yJClpNlliktSY1kEWTw9XWe
FX5ljUUv6lnzn/OkJ4AlmgonpaivYoabdMXC6x+7adjyinIpL2lGcBeyXHB95WRUD0OUtumGfc1z
NikvybX+WETB6mt7aGA9UWzfyw77j3maecxpP7nXGeGyQb0uFeidFfEtMMGCbRSwNr/LE58EWsal
rnse62uhqzGc6WGYPtVtHfOKTik7iSI371L49hqhF/PS61A3CE04z+TLBLAUL1uonGuvhpb7bURb
e/ZUhbwY9Xjl+FPV+57WnsCF4SvWoWgWi4r7EEydqfkErv2Me0MEZNlQhzbPtyDxM2ClhDy4plQl
a+CuWqen9ioHyIgZIvhVcAvJJBukbKVetrUVcm2vo0foUuBCvbPOhn9mGSVKAuyE59gtlSuu/QY8
Qraq6kpXaDzmSU8CLN9r38Ihv7jK2pY/MuzNedjk/CFPeoLXY9AYQUpcXFsb98siyva2haLM3NYE
rtYVk5pr01672ZhTMUX9mmON3+etPcmL4+71/thduxpsqpeyLMYfoN5tTnnSE7AeSNrAllhc13Hd
f672Tj9rOTryiisoASvhaqj0MrRXdxzVdRvUq761/pa39ASrrd3KcfZbe+W0GC5l3NtmP6TM8mIw
ZOCpn2lX5oZCr8WVrHS4ANlf3bZqymMdweiKp9KrFi8dPWhxDc50x8NohvF73LIhzweTlNXU2QAt
0g4X15JrDEyPbRvKU7X0KAtQJOU1KY5FORJYv0WBnaHs2v6ESd9nAYqkxCZNF7fPElzNEqfxuYxR
PZBu/9JR6hGWf0woSZ3AFeJ0xaOg4IXjYh4quCj3VrPNfukc+OixPic+wesw6LWLfiuuQi60O7XL
jm5wvW256lHqvmGe8SMLvCQlOQF3TRhL9uIaZ741vsMV3Czyc6b0BLy9Z8j03QEuGe/4GSIdaSY4
mWelfyQlOvVAoqoL23W3eaMbeYYwZT96KIdMWYk9SelOsvYx7AKNt7CU7RVKJdtdDXOmd0j5TqGo
iLfczzevO3Ne4qpdc/j++C3HtZGU7UQWKvsSbrXfeL1P5yDpfLZSqzzXJpJYq2QsWF/Z4kYWyC6l
N9ttVDTvShdJKU+trIu2wLS90ehWCef8gn0k69RllYlISnpCcNtAzjp0d10VyJ0HB/1wpqc90+pT
6tM6j963AuZj8IGgZq3W5UUYdJdplWm4xTXvCaqm+7wEUpwH0w0wRUTavDvRJGU/6cVhqxcx3jdN
p9MgYFcdDCrJNJwk4o5UMNTqjt4HBeM+gDgwvNE4bFlFY5Kyn7xeNrDLvbj34/BT3Kj7aPg2/5KF
qJT8NMGsj3a12tzNBIjCjqnt+cEXduSFrJT+JAuF1lkQfVfEO/lgoV9lGiilkbx2AOEJaBEQZGWo
tb4bX9sH10NVBHjnY6zPeQpKUuS19qgqSqDH7GVhXnnhzEvfZqYLKfGJSzpZLcb+TqNC35ZuXc0Z
yERH3vUsaBw9TaewmNt6lZO+QyuCyVPF6P5W8aV9m6ebBLXe4f6A6Kvv3Y6H4RzneHw7r12Xd6sZ
ZlA9Xf4xeRdgFEN3rx2zv7Buj5dFky4vV+MJahfn5GFHkL67GV+XAtpg57ntUZ9nOSn/qShgFtvM
NnWf2Vi0z+quhJvwnQU2Y57LTylQ+6baJR4zmKYq7K1Q2N7cBtnIX2/u4/n1M/laOhyJQy4Y4xiK
mxbaVqcaFi6u9Ua8eoXCPo2NaPFYmyaU0JdYMnWWoNmRQfkgvLx3aA7y5jprKuBjF0G9+etvRf7k
WyVwdnUtaKxFd2dTP59KNbr7tiOeFwhSXhEf18KHqEF6eUzb5VhL8qNh6MBf2JM/W32CZ6jFoqk2
Wt1bv3cwnUC7pVnGuRVfkP+o5s/teQLoOox0LyaABLT6N3HRZsXbawCJ5zDQhjN8gXFw3ZZ1TiUp
1WjCBxL76uQdXNTyULgjvITLWUemJSXohpaKtsNSdPdVtMdti2u3N2NJivdZdpRyjQRhhUXHBtNP
+LTyk+inur0wtk2ZcSelG8XYaWWHEdY/tqg+8TWuz/1I+ryWKEkJR35ltgaGUXfvZL+M52pB5akN
A1vyoJBSjuq1ngveLx3cBOnHqYlknF4fJvZfqIv9XjX9jKnSBMiRRwNmQ/p7q9T4oSK2h0P9Y1fh
xYItow3tlnZsoo06xKYSZidrgxSh9XmZsDye+bWO88VxAYOJ8kziEbSfFL8V1Kb7AkEGzkPBzrGf
ipPtO5R36kypSsEMHoZAVpDfz0CXbsTSwehEVFbjz3mrT6A/zlO9Vp2D1bOtvJe9N3A533Q6j3JJ
UrYSKzc8eDH0cD45Ptpj1u8G1PZ5g9RIylaaTF0D1bXWdx0WdVZ40LFZ+igyE6mUr9Txoy+6cdD3
fsXkRehLdtuYYnl7m9KVdAccoo5V/BZV758/XkNowJXMWcVGoA89tcv9qAY7rBu7hXkkuKl76W/F
tLMtc/VJzKYIkWKFCUh3uDnOTzVf6ndoEXmDKEhKYnZT17d0D/peAsRflcvUf8vruGZ1fEhKtmrB
QsKxCnNf1W5vc2Ss6QzN68nAfaanmnfuYIXBu7ljesgrcmIebh2S/ZbncVKiFSqPfliHqbgJxcUz
pFV/3lw1Ze5rkn0jpqLyAg4PEZn6Wyxl+x3puygzxScBWpetGY5d6TuZ6+M0md28rKzp8w7NKdNq
EqvabG+HB8Cr+ZWWavgwBJd3GxHKuE831s5bH4yg7n60uz2pmo5nGoo2L69PhznxoQj1uiJznymO
H6wRrb+6ba3yLjyRlGuFuw6HCC3suxKm/FgelTn3mJZfOBQ+BuDPBOaUa7VIqPwRBQ2wta2hPeuE
xuZam1nXMAwI7iZ9IQH4k1Q4JV1J7vbjYHDutzX3r/dq1zdhtMui7pKUdBVi6fk+4ccNhn4eY2a/
6a3Mu6BIUsqVaDc4eXLm7nUxhaufbP28rWje3E+SEq4czL1wY1m6e8BRSCi2bHxsaNjy+N4kpVyV
fkPAc9v4jQbiLmVY0Fto2+q8A1rKtQqH40Ab6ODKhMDbicBAzQc8tf67rCwnHfVkx16RIxbyPpZw
k/M0i8OtQOMHylWe/CTWDrE+Vt3B6qnZqwbDBPQzFGXzGqoknfgkjQ+aVVrcRKH0W17j5WiggrF/
wWf+CXL/QLeKTu8USBb3CI3P8oRhZIE5j7NG9PnMWZvX4Eg5VyrSQzHC/B04b+jUd/N8Q0PMG98H
97afeuZdbWvbh8PctQ+Ta2wX67FRS0T+C0fkP/E7Ke1qnDiramg+31esJ9/UnVRvBFyb+T7PgJKg
OysL48oh07/hogpvFFDwG0Zj3uwtUiUxd94M2jnuIQkfF9E1ji1iaEZTf2m6wGP8+4zvT3lXQ9Eu
MJWW+Lvu2bLDyhVhJydbwmDSruCuEcpwdp5HJ6bL4rzVr7PUlo6KOgxMQ5sGLm7HEQkUaIdwn4BS
mYfqlJIF5wi/DCtw2dtt5A8SCfotWUjehGmSUrKGXQz+8NTfu9Cv5aWGm1cvnAt6yVz9I9w/OZfC
Fd4a7taXcBUeYmbfeGfjvS5hbkoeIsr03NsqNsPNpfoWStK/nQVMVF6B5/4Fp/QneEs5WYXF4zGI
0N8FNeFkYGTpc8IGmyk9OfVasS7l5Kv2BhNE1xcwbmw4T0CW+GeeVSZgngq+O/moGbj2Ci2hienf
hoH6TJtPwNxCVbmCq/D9fSojzCmNsX6jyHjkJaEpJ2tDZJaE0vrG14k224jldB7XdfhSdfx38/iM
r0hZWW63eyln5yEUuxLG12xdvzYwVLzjL4KZ5thwtszx5EmcRRPbcZ9/kY7Mx3O/dBW+UBQ9fov0
3K4nQ42U112Xx/E+a+dSUhfeQ7cSU/d3uaFiaeC5DJKe/VHITIpCOoeqtm72w0j7O9PL8eCB/fB8
2oz9AuT/JJKn06h6GKhTH/Cwirvgq/xxLEc0NPxYSn2D4oJXeYUFlAAfrTDSrgA65q2vYHLZwSb/
Yam6IrPmkk6o2hc729F6DyqKE/DSIr53KuZNq4He8lOvOG54ocswQRoS4nylDncPRWB7pmoS5C8w
A2ub+6K/A1sk3nRnx5e8h9EyedaZIF/7dYLpp1jdy5l0t9IX5myAaXHOkY5Thteiy6LeW/L4LILC
n+QczLVc9ry6PE4ZXqGrXBDDqu4bq1tz6kYJ3EDZx/UL54fPtzCAN/B0X3XVjdXU2vamynUnNzZX
MBKrt9NxXG277uuNdiYMP+WpKil9HQxvxxbhELoUSwVXR8eyKRFMtMmTngTudsJkHuRe3Iaa4ed2
4vK1hlnrWaUvnNK9SrbujsI1+Ds81ma8tRXUrEUs6kve2vHTbRitMzCYCIxogt7wez4Y8XO5iC9x
yT6fFOCU4DV2RslZmeI2Mjc/FHNrgFDGy8xyL/7DKCu8qFAekDKt69ZejlCTl2F0MVM3KXxHHzBc
Z3Z35TrX0ErwV+Wh86Y745TgVcj+qGtS23s3tuEtfAHzq2V7zOJz4JTg1dURSrvRuPska/HtAK7o
1M3D9uGvrebzcQun/C42mQltUsm7w26s3wLZfCEXvm07v2ztelRfKFH97mz+mHvAYz+eWqfdFRCC
OMymnoSi6y8wXcLNjQZqCm80x257uUPZipimJ71Zz2236eW+9oW3zyiF2lYzo5WR75FYJnXydVuO
8DQOBc8RgiKLWp5PfVkcl4niUrxkrjpgQmZYsH6B4as9D3DoUj9KI0t4/kBLcGD+tKgNeglA9Cnq
7w2qx3jxpJzWq2JmI67pRjHYay+nWl3Xoq15bCCRL20T4HEm60l2BdqAOg8dzu9WM0hodzGyQVp4
7Dt9KQK0bBuG1hU3bhgHusOzPRbtL2jeePl8dAESKOemYn5ZbHC36mznpYgnvUg0wCwhocRz3ZGN
QW42yKr8gNcJdHNiPezQqYQIIU9aCZgsSi3mRXOIdl8/WOSVeaF1VOIZ6yBTnZphi/vETmZgAZ/G
YiHi51ht9FGBsp67t/ao5vCOm/IQupmlhNbQGlgx/7LB3c3jCpO/O3FZOYcpgVGYML1AjNhwWjY4
MJ+BMtAOMKmwKu17QkHSS1NV9fQMwZSx4rsaHg3If4MpFgHddLEp/76cSlQ1dduy+l0xeFy+6A1b
/WM1RXJ/im7YlpPuYBbDCmuVq4ObwBtDb4Eqv0w/LWsV4JqC1n45z+vathdjKwnbyPXYX/8aCX/i
4VLyiB42eLbBHuklULqfrabqJ1/ubVZ6glPmCGvHkVQ9PCTAa8WGMzw8YFW3Aib25J1pcUp2BNq2
qoYSovw08uqB+mH9aWX9/P1fK+cRpp+D76PSPjnRCkn1MbjHzkR37MPzdvTDAIF33O0zAwaEmwij
Qb90l6z8vej7uY9LYtlcQ01b7BJSlqNGgLcNRi7fKmbG49LCz90JOa3IlYceTSdRYujAoKD4BoMH
0IJPRWe2X03VrtMZ7tpO/eX/cnYlTXbizPYXKUJICMEWLneo0VUu22VvCI8CMY8S+vXv3H6bNp/d
FcG2o53FFSiVyjyDbkgXPfhjW7AELgpySnQ353URF33UtIkn60kkkVLRcNt5XeM/qJZn8n52tsiP
RBJXHRyLoMrJaDvR2ALnLw+F5dgr6DWOJ9IP0ZQw5LGyjZc1ICpZO0xuDtYbivXVoLE3VnGZM8Mu
4LGN/amrmLSpWKcRkuyahKt4mCzgJX0ytItVd9gI42DiYFUUHQRIjuXlpQIdXCYQYp0VlFAAbxU3
bPX6+sNAqDc/FqTr+yxxDYDYJ9lkdHnM57ZrbmGfFfhfGpVDQCwuV1U1aRe4sQ4OMzRKojDRXDuO
P+mxJZkMxCTvxrwWdRv7ZmRlkFCLlfh5FbFsTgxhdMzIOHUnG42jghh+0/bxCNBEf5yizqmTWksP
gCLR0DUBImFh79rciTyexxKwPnQiiR9bfEH0XOd5Sc9dgdiHIpqhqhiIOefHCnIPS8yuLEXYmThv
Oa+cdN5ByyUcXycKFOUPNgXZGocSeo/uUHpL0H2UfeDIE/eRdCF/NffDiRDWhamUZdZXkKyyern0
frS2J8B5VPmRrFlV3XEbzgBJ0pwPkPUo8Lk9gC/im4uTzdLfI2nm8v0KYLh4sLQSfuxPnQc/jmhu
096WhX1X2aBdk24o2iUteDHR1KxwObhdVDB5iWr9cT2FEzqMSGJiQFelL8wKdbEqwi/IFzB5JRT5
a0gImL44uKio+pu2bI1K3IIL2TNDeVcfUFXo7sDxhbJ7ChbeFEcVD8wbZ/TfEuCmjhd175FW++pi
gx5ibaDH4BCpwfX78t855G/xNyVAz7LQeMuQXypL+1tQIulD2bT7hI74Vr4q49GakXrw0qoj6rtY
rkYBizDFvi403wLNWD3NcgGSAqk1H2Mzev3LGnbZG3eov63NJuFJ4Ya+4a259EHh3bC80p8ay+Y3
Dp9/pPH+kE+DzdV7Zl2w1qVj6Tg6sXziE6hEayyaseymmAFWtb7rusUN1y2i+uaQDdICjAbaLTnk
UQbB2i4Y+uJxyJVsVVwA/Rgk0kPNcCilqNanVXlZUMas86s57kJoS5wpYHMy5apb5GnyJavfK+gy
0g+mI7N+jjLW0JvQkpY9e6BHLCbGZnAUQHTIgXwZ6IxpXTyjMkUkh9bvz8VwESZN3aoiEZZ5/Mx8
bLL3jE9VEzc8KrJvgSjp+oRJ8cjvfbTTHDJVBdTSJaynVsSQebE25rMc6OM0wEPKwVBimsfnRplh
iaGQA+WtuM2b1aWjNkiuMQRNV3cgqvNLpN4MDmXvnR6wC6OxGb1zhAPI0TSr5iD4plzfRg/chzTN
Y+cKHv7Ksp7lX0uYp6jEznMr5nhqChnFbmlZ+0EyblkaNWA1tegnOB8EjorM+RH+Iqb62FqiyP0E
xnC1D4PGt2P0LB/7AFSdNeXTrWJxq/ddbbcDdFHmTdRniCu/WxCQ9zW6+XZuTiVYpHOEsLRNuIjn
bt99cDsxVwOpsuD6uLlIvfZG7nO44FtB2ZYUwsMFqoRYWWmbh6X3J/aydJ7Y2cvZzuBbJaiKrgsi
3y9AiP7clZm3s/eKQySLX5djieLufbhPiJVvh+6DrsK8XRE2emxfxze65P94bvwhl22H7eAWD0gR
iFpzfZD0V1cGadj8yHx21Jm+0wb1GQvjSZqPuvs48yFpRxrnWZN05C2Jj+AfoNgfnuJ/6S2UrT6b
u0u+TlzdCmhyZN5JTpyL5m5lOS6W8E8ZNb3twlb696UxJDwha63ZT8M4vUqHNXoo8piiLT3rOCeO
TPfER8XRJKRcuTzKgOT6W9+YtY4lo3blMVnrgN3k7Vx2dcJdFtGjBkCu/EbAB4DtjvOBJfwsr//E
gqZb9O4ZnYihummyqKjvZS51cyNU2KnPczP3cxF37WiH97Tv56pLynWafB3jR2TqG2HGU1lcUtbq
H8SQybjERrNVH7I1Nz2upz7JQe1p1yF7bD1f27t6smhKJ6O3hNMB8LEye+4WNAPuWyjKOXLAFWXV
z7JHx3OJjUVtKw9rt4rhYzUMVX6CpUPTXaJwDkWspqVe2gNQOVWN35/Prr+4wQf+3aMk719ZV/Hm
IWy9qC8SM/jBdNcCUNnXCboXYfij9juvfwDho6ev9VQtjB4Wry7AcW8h/ymHpGG5UvixU1iu82VB
zL7HoDT0vW+uoiLvYxP2uuiSlduM1jEk4ZnE/JmBkDtAQCNbulRlJmsfNGo98TQoMSJCKFBzirgS
LBJrqkIQ/h71iPvKQ8TcUp0jMMA7/KDMb9fjNHpg97swLKon4OE6ww6o3lt3ysUqxvtx5hXq1oII
sbx3kWBTlUyRxBkdC+tUd86pJ8jnGuiisYkLiDZLVD22bmwLpQkrjInR+jXjfIBcNB9MAscjbPXb
VVcLxEuot044Am0jhT5hCl6pMendSASEppowC4rEQxez+7rw0ZgPc8FCjDYy0S8DjBdhJ1wkfsAs
vCgJVzy/BDjggi/FyCr9a6K4NekjdPoda+IlIPhnSZAD9HfWFr/KO611NlYk1jCfBMzHayT+btpE
UCHGnjDtHP6io8q5RrXRZ7B+6sO5Ia/ETbPQyZA77r57sK4lP3wqq/oAk4qpT3LdRXXKO9Pb5rZZ
y+sGk/2U9ylu3G1kD3kDGLK99Qu0IIajpjKYmhRElInTRMwcaeIgw6I2PxlUHebnEHCGYjxM7ZQF
6NCoz2tmyykF6RIbmA4Unznu28X03RuxRj96PbJOYfFqb71paFNLNE3ykT2HPbTkvBjs/OoJ6jFD
mvfTN+OV9F3Eosr/0ZqlLRO4qLvvDPySA/dXCWdlT7kXv/SM+qGCgPsnJaNculhxm/fZvb2iU+7M
VK4+mifWz6JSvc6Y/bflve/yiBU3FpfJokpMGQ35pxEZwm/TQVtZ5AeWBaa9qbRal/4AtWml+4Nf
rYH5FBA6up+gJSzdh2CMiNTxlEOuh8Yz9yf3hEYaiI+HChw8r0kqA/iQi5FBiO1jAClU0R0XqAwO
7CwpmG7BCW5SwZjFNYyd+1/w3+lWEyuY3k4dVPrhfYts7a8hW2I5A1r+uUCHLORHC9psFSUwaS6X
Nh6baFYonIjf0z6mK1zEXwXSafQ8sMYEn/lKMOmIo6UefDybWYz/C00r3j4V+Rj2r7atWzTwfOt3
80NGNbNfjVoAjoj1SrviVGViGWDy3Xcg6MX02h3wjkYFEiKGmIZxdIvLxaMLSkK/6flyGMDGgcph
hauw94pm1UpT6ZeB/wsUCGyly9iqqK2OsoSk0hHNr3F46Bd0QdsYF8bFHQUkp+T7HOaX9Bte62yy
OLShKOoYx4OJ3s3NxCS0YFsoZuLfAElgvmneDgpftLbUG2KirneEU9l3E+lh2oza/THIOQG3YBKO
XmjhY4SHqe4C5AnpTfZjBb8kfyplZebHNusFO2FtlP+9Cv0at3odilB9AKVyRgVXgYSkljgf68Zc
wt53vYVlQGioiqHEBY3BBLeIhplEztWsPviR105nOrDRvI7XJipJMGzNS5NWk8VsLunA+lme5h65
5n7UmEHB+5gWHpov6BMeVOWisI6hX1G+wCJ6QcMV1AWmY1zDbfUJMJfAtU8h7XW1HgbYm+judpWd
Q5vaGzt7CyU1ImjMWDPOJyjie/4aZ1AhAaYerdG1/gZ4mF+gKxDlBjIweT+A+IT7BUyXSxhgqvwR
LD2M3asss/5X+LtXuG+7BUMJE8PeZOiCuGGI8WkMZTQ+1mWp2+aUU41G1anBtTakqac8UtyytqHj
+mhC3BabJBpXptw9dw7vCnQYDNoh0DitNKOHlpFa14cmwMttkr67yhjEk0Oj46mbwhHbDuZXK+tT
ZyCn0sTTIFQTPla9UZ8z0gqUBXaYmP3p4be7DNcbppcfvjERJHPt6DUmrohtprPPQsMTNK2Bpond
OpnwmWI0Xd+raCxQ8+EGB/GEX0XmlrU/dtDoij4gC1JWxItfRORIWTDPwWkIuqXUMWh8bP22AiUy
AEVZrvRG99KZl6Zy43LvAyYw0WTqy0Jw1BcOSaCMAYdHSvpg0VAaYTI8TtIbUNLzqUDz17LafkRm
1+TLLFfJVKxZDR1IpSOe/9RR1QwvQzjzVp38luehl/QVehR3gvahChJcrMplTAqva4vzikY9jQ7R
4jXdEvcE2enZELkgLft+7zfv0DAJ5ksW2Sl4crSkC3r1sgBELmHTpJoxGbAmYUw8xaGiCfLvbJIy
V+gFx9JjvHqPjiGO87gVuZi+EGsW9bPTmT92aDnVZl7jBWqH+nNUdjDjjYmpNP/kLZHmedwPLaji
cRbOjrSxzecaTuuja7oS+w0NplXgFuyv+lYEyxA8QwaPR+8LJ/pqwptg6PWBptAXDYRGwgDxAqfK
7ib0M6E/Vm4WzXfJio6tsd9w6/VxFQ1e8L0QCsdAzIqgKj6pVWWDgp0aQf0T205k/aUec50VMc60
nH0c0ZuiZVwsNAewoA+mCZ9WthZSnUSBWpYlBaUhfHSrRRAPVwbY7M6oogYIEGDsW3UZWpwzECQo
Yq13h7rDDz/yCrnx2Dnv6tTeuGUsXwEmKcuj7ZkZytgfa559rl3Ujk94FIEkl81VPd4a2o7sXVD7
IYkj6AZ7saybuU1IhMZrlegKNu3Pbebb4eLZqmJH0GObFkX30kYfJpnb4b7rR7V+zpwcyhl9asLr
KfZy2vr3xGFPPNFVQxo37vrIoXtbqEBUBVJsBUh43K+t0gKnxtLUDcoSv/BBdsb0RP4cSxjQd3FH
RYT/v9aQsjuLGqfUJ7dmUt5YHbbiFX0R6393LRYMcKRJoCfb1nx5sBAOzW8gNSvhaAShAhPeTM04
TL+8DgDZlNJIolkArFTenrOF6/m17OBs+p5DMjl/Xgzhcxu38IJbP5bFWPZnKN/lxotDGsj240Ch
TvfD1SGAPikfFlBPYgY5NvNSRj1DUb8o04nL2mtTyHOtdAVvryIncx17WTeLn95caoHzFTiKjwZJ
BOsD7ZNCYA0syfAWsJ/7/tY6tCa+UjROnlaA/8UdhkUDHOSAUH5n2xm+HrwYiuhDURR6qRPckgZx
T0qQxz8zGHjrxxJyD+w4aOzDr2rssSeTUmSRgPGNF3HYVHn+zyVrSfS0woTR4gJlCBXnhqKLf4Hc
Xzi9tBWb8m9rNKC7GCPVl+ujNE1VY7dV69TcK7LqOUbb2jSv3KKURJ8nkPSiO9X1dwPNLT8BaViW
L0J0eV0CSrey+lx1PrraBHXdxxlqt93jnC1LeRr1REgfL6CWkJccbEH2s6wmMwPOxqCG2UD334tx
LEp8lZ5m44FOi6Z3gz9n0cemayp0vodQdAevABL0g218KL9glR02wejkBN+GOUBJ9kRGM0HkZy6z
RqeL6El5WECdkc9EjZbdDIvy5Vk7U1Vwe7BR9cArVzoV1w7Z58UCMCuSthnmFqeNysbYBXqcbymG
vcFzZYt6KZOskdWk0vDasniG4IkYj9ouJTKh8Q3XR99JQU/dWIcypR1o5uMBwwffpPDCzJs7FJ9y
uZGh8oIUI0yljppjh97UrgmyVPhO48IrC6+/y5aSjj12dFuUt0Xtmwqqmx5GJxe6TnN4YLjzVg8L
xG3Hy5xj0gKTn6qtVTzjCYOzbFQRPFgRhvyuphCfOoiA6A4PC4cdGXMVOnqbAevXfldBjfnALL3e
e/QqVNG4xMEFJnhU3VgO6TBOw3IXGBZ0Fz/rJ+R8b17opfAHz95hvgGTzzjQkx99Kduis8ewcEvz
UmIXwzlTO68/DZi5usdgGf0OpRVoQPkCbQ4W1ffgQjD3sARY6KZKZmIp0xexKp+4A+SSi6ZIMrLK
qEorFpB9BGUebqANM+QSYLrryrPMm8DB3Qml7ZnWbbWz8b0Vw8jhfNCgwivOrEBBdgoaEa4XGQbt
vrHDVg+D52qEAInJz0PVe6cGU6wnMjfssKu1tVXDCJV1vkNiPw9sHn+GDC+h63L/eV/0zUgDpQ8F
la2sj6NHDygKnuFbugsnC8+Z3yeuC3isiwdriKOjmAlSL5XzPhIb32pgNF1tIkz4q2PW4NSJ5rgC
O3ffgmzmGIVDH14bG6RejVoswqU39SuzTxGH/zPe+NcU2jNADteWB6kLcvahZCzL4jFQ1ed9D7+B
EHpyxQC3bRG+jvz14HwmzwB9iCLZF3+zVXkIU1sZCJ7C8CC7UJA309B3bynr/kMa+UNLcsvuV1gd
ta4F5sRtlXc69QNX6djzh+wiIEIMsyq/0eowBYwgC681ZMtpMxU/i6jE1V+jt/xQIK9NUErCTcDZ
xO+iYY2JP6wcdVEIw7GDP9ch/oex81V2Yhh3dGj2dwyt6AqS9vckks14o5bCy5FlR4jhYbRU7aMc
8y3D0Hm4p6wLOr+YjeTFxcxvWdRet+ufVm7zYmBZsE5KW3OJJK7JxwXDfHseM8/8aunklRgu1/0u
Eh3fqhjg/k8DzMXWNJvGe0vNnZL7LBgwDPs9Y3glC1B+6hXegaeZx0EW7/pst7oF2kAmGGg59DKH
hAGZ+mNf2E3uhHui8m1VYzowpZChKnbieLYyBZ3uvax3WAZocrnrYuybGYnr6PZfyaeZLbqcIeLW
wW2hith5r/sWYpMzy9yFhcVnmsLlOrLppPcdfVszFEqmJod3A5YAzHwgfvcNi7ayAmrxgKQs8d6a
HIptN9Cz2LcMm01Impwvi75+D+99Evf7jLP5VkcAsDhcvQusrqePLU+yYN9Jt1UQyNsWN+QBcfPx
pH8t7I3x1vVr+kMq2koHZKNbed8hLM8uWr44TLN2Le/WAK3xpwh4SQQOc2giNYkI99VvW7mAESwh
CM3iM1vhbkLr6Uh6uu8L3moFOJi3WoZbXJpBXWS4rf038BB/W+TNjssqNNotpFHSQt/2n4L5uG+J
NyiL1uiQoMO6pn15yl6jfRJHfGu/UgSCgQqHsDZCm0VhnrEPkLN1XgHnfUSfFoGl922qDzz/sWsd
tnTlcq2wNa5D6jmdbsJ96XfLUmbgnKNsRdCwST4t+5Q0+JadLApZotl3XQJ6kPIgd+ZetsFSoXVU
TH6HZKYejI6jfQXqlo0M8eXQoVeANXiqvpXvd72tLQe5H+FWgZYXhv8iVeq8voXi/Msm27KOaeZT
T/Z4WIeGyCd0q/Y97mbvLqT0MJTE4wL9Nn9n7b5UsyUZG10Uc3t92gW46l/ezhe2uVE0SyWputY4
Dspq5jCUp32LsDkrW6gK5pgU4fCZzjW6hf2+Q23LJs7NRLM2R9zVHLIJsKdk1/NuycIYE8KWrUXc
0X0BmDY2fOedYEsU7gs4S/7zlREWN2vC97lx8C1FWGVsmJXDE3N3aLvDvtP9H0zLv2pI0S1rxmAg
noL++nknemfLBl79kkBRB0FNfQiKd/k+hjff8oB9MAbKySJuWZ7qF+HtOyW3pgwNm8alAgwhderA
7M1OVyW+tWOoMs/NI0fc1Z2hCdfO+xKOt9lr1tQEZOv/X17T4Avbtye2dF+tPDhGMMTtolP3yd/n
C863JN9w1GsVQoQtXbrDJOKJ7CvPt/zcYViEbq+PS5HHgKfap3nEt7Rc3pfSRT7iTq/5FOf78LRb
Oi7vVVC114/B5Ye+StjOKnpLwOWjnbJpbvG0ywkM0yDftym2zFsPAreY53V43u/udp/cKt8SbpdQ
lyZs8bABiYEmzXZ+uNtDrfNWqhqEHQC1Cu6CYh+GlG42mgLuos7sNW54KaY2ZtDs3nP8sC2/djK5
n+sBkZf1oWntgat9Sg9sy60lpbKAtqxI6JhikKPbt9tQ3P7ebOimMgIUD3EJhU5/DMzFvpUIfo+7
kqWBeDPiti4JeWr31btAtv0eF2Rubb0Gce1RXfZlXrbly1KMr0IyIygXqPofx32bjUWbEtJbulDa
6yKwX/4778O+lWW/r4CjcrQKkhCpe7USw+SdL2yz2XKFUR1uqrigHNvLvh3Mto4H4Cm1cGlFUM//
muUPQTftSg1sy4R1tRf54YLA/3CuLpN6v2txtxzYASbKU3n9vIbP3lP3lt7yn28oIP3+/sr6MOJt
D9PO1NcXEH/sPuFNtuW6NqwdFeoxLO8xOOyzq2Zbfh+x+doD9YxMAxDjFPfdrnOdbV0MRniLdmOF
RRAqrX8Ss+s+xbbmBSWosDTqENah5wZY7a4Cmm0B9pXJ12G8frn8Mf9U7bpNsS2WG/FGE12/A41O
9Jianc+6Oc8YA+SQQT4jBW7zTu5b1+00FnD6Co65CLp8F2OsdymEse0MdoxyDmtfRB3u3JPc1WVj
29FrB7gaN9dHHR7N3bjvc92aDxj44QJYh6AYu9su4bsu6mw7bc2bCZpN17AmVadm33e1nbPWDVRa
pQ8J/eyJP6mdH8Dm8GqsnL1QIGi1xKtK552VwXa2qpQKgctG3EiBo3gMdsk6sq2hALtOIq1EWCCw
k53JZesjkEfd2OkQQeWj97TPf4xt+d/RBIx2f/1ci4foa/9p18G1pX2TboZDa4YnDW/a150f69Yn
oHYTX70IQUUcJb/2PeimMIS8clBCyAC30e/5cX7dF3RTFQJ2TTzg365L6r9E7/YFvZ7m/+qhSOnp
wNEFafVeACu9L1kHm23VVdq663g5refnpftY74MssC3z0qPAlEKUDAdWdZzCl8m+7FuFTV04hUMN
CyysgvBSOiZyF+qEBZszi0PbcuqvBwEL58uIoqgHqG7XE28n33hrdiARnpglS1zuy4bbmbc0PsRF
MwTNnsSDv+9b2A68x7FmI7mubaEScHzMPqMxthXo78DP6IoV34JpTopcuNrVtWXbiTejzcDCEc87
HXMakx/73tdmn3l2BedXI2q53jigIvd5frGtrL42EBaR16Qg9F24vlv3dfDZdtwd1eNAq2tc0DdQ
GbB9sAq2nXfPQGHBFg5xF3IzencB31fJbAX0ew0qDcjR15pLPOl9F7DttNvMsi0qJIa0reKoOdC9
ccNN0hVTDrtYxK1+6CrWP3d9Yttht6cK+FsXAGnILBEnb58IPNuOuucF5LkoR9jFTzz6tSn20ZHZ
dtSteKkGaNagmPk4glux846/HXP7HbS0vRphdXEXTb+mdV/9uRXDr3S4ZEYbNJHiKd37JWz6HIHP
srYqEXQ5lsk+dXe2HXEPEjxEcQ1al+97+bXTO1dgc5wJuXAJzD0+sLG8DRUkictlNvsOtC0c7SpX
XpgKD81O3kOW7toSW4K+1MqyUkGPyh+/8gUzrXnnx/s/FH0HfSvwglHh3YkvfN8db0vQtwJaD2CR
IijYCOpHoPbdx7YE/Y5o5kmBuFCuvskEusHg1u8TF2ZbEn0hJ1MUJfYbw6TI3c9vttWuR+P/gnfY
lkdv+5KTZVzHC5BBltxURRsRceCFR9tD1DrQiWOROV8cwIol4ZzkfgQaKQevkAhQux1dY7AezJh6
8DYYjrbKxuEc1ZyJu2DJCPZbw6yZU38qCWC7sgcTfnwoGAyvwA6bujmc4gzy3t3wGDpp5gfbZTkI
cGMe9jdrC1YtOcisBDMUyBcylyKtbKvlgQ35aoD6B3aencpAMXta1OCZl7od4YQaQ6mrhgNOVmUV
LcHIBAd1PfUwMAChGHZuY57QbO3bA+SN6jqtFbHjcuOHNloe6jBQc/lQmtE0bwnZ/m2ZNykItjba
uUmptKlI3mBL62A6rE2LFd23CTfFNfEa+P5wXqQrVEzhM1FqsDWzr/8d/Hr5+dNHsslJUoMm4MF9
Jm2WOjNpZ2fVXHJohzBYiTi1b7wIAsLvJzZU/cBJLeHsKcIKNDQd8Ab6bmGh93lasC10JsAXyhk4
X2mILysdSRV9gagoSJX/vUx/eclbBI20gejc1OVpyUBjvSxRaSVkZiz13xi5/eU9bME0UBEdQhBs
C5CMomI+cjtk/FUZlfnxBH48eLj//UP+9neu//1f91Ua8gxk+hp0VwhzZRfVgV3yMjkfBBzXZhXZ
12jZwm0UVWtQkaJN62UVsObk+jFzbbsvz7PN9difwU0SfGnTCCT4MhnLpp9vQwgxvGUX+7dV2u7p
Dp7Uo8u7FOAAqCNU4Gta6EjQ1sHBdIXW23+/jL99VZudrT0Rrhb60ifw1pgH4t2qB/BC39TY/lv8
zeaGw1nhh1nX435XDyD/rODtLbO/r027hefAsM+Jyc5QNatC4O9b5bsPNVxwxBu3/78ohLMtTifq
66AxnR5Pyvfz7oicmrsJQiVLNn8q8jorAHtGolLvbQvi2s2Aw0Q9QqnJVJAf8Kr2LlSK0pfI5iE5
tTqa/CImmRp8743M/JfPZAv3qRoXDtMUTCdWCM2TZpoqcSzKelGnbOXRztJui/4pfJDd/DqfT344
BbfS67IvdVgX+zbTFgU0LSDs1wvE6YAFsj8yqcVH4FHzXWN0ECR/zzeRFxYBGJPDyRPUPF6xIB8B
GoT0wX/voOuN7w/H1xYVFC4yM0SZ/kQB4oLsgEX9V76bLIdjZQjrD3rf1MQOiSsEGd8beIfbd//9
l/+yt7bAoXIAmRVjsPFUt6uKs1Yut0vA131Nny18KJrHBZQ/uZ79KQTXTYzNCUZlbznCXU/dP63a
Ji/QMBsVGP3sbJYqb3+SFTMnmdZhaPR011mh1QOfVUUfnK7RewTHW9RHXfLavNGI/svG2aKNGCPg
AnfdegbYM2ynGAIMPHjPBhXYTyInYfSy6yVt4UeDzrNREBecx5z0X69GY0MKXQJw2PbFl79/3R4P
gsWHN87ZJ41/L1XEboRX77N0Z1sw0lCvroaorn9uKSmfFuYFawdVDgsg5xvb5y8f8f8AkyAeCBor
Cc61T9rnCtSES81o8WHf6mz2/uiXlGvcCi5IMPRSqdBAEgf952Ln02/KACgUMoecXl+KsctwAwAd
uYKWyhvHz9/WZlMDwJNl4tMS9RfbkTCGnU3+LaBh9P2/1+afu+Mf9iDdnP3tNPIcAoXQlzJ9hZMs
qGoC7bc2lMELfpWzTcwhevnVyHDyT1Ag78mzJRIkcWFo2f/KerKKm6BYSfBsIMjti3iAbMFXqcHY
RiI0PIcgUjZjeSxbu/kYeabxElEMXYYNx9jkHZlZ6qv4KS/heo35nYr4pzySZu1O3tAD4SL8ciGp
DSuHk7MKPPICC1Xvu1c5Iw/hQAqZVkar8l0IL585LrKhIel/L9Cfl9/bjpbzTooAmOLo3EKW+6zg
dPrkjHO7jiWIuvy+cdXqEUplFp2hl6qOYC2Td0PJyjda4Oz6Ev/35XrbYTMtDS/E0FUXB8GsWsau
CqBDlAgHIRikVtDIY6hqdmt+w3mn3FMQNNoce0EH8bD2LGqTSawGOtWsyXjSCW9Sl75lo05IPgfW
SyBMRaM5NXkUtSoJs9qIOO+gDPtCpbXDuXeA0exrW22RcM6rDLTCxXxRppGJdv2YQn+F7aqBvS0a
DrR4RoppWS6aFOvjPFftE9WyeSNBXxPxH17EFhEXdKWsA67Gi2BCmzLWfrNWxzBbZXlT9tLOcUOK
OYIaFKzsAbbf9e1u8XJRLRrndWa5wC9nvafOzPdhke3jHHjRZjiqkaVJyPzl4hrGfgWgtH4kZqjf
uLn9uaLytti5SLOKgGA5X0BrKM3L/3F2Jkty8koUfiIiBIhpCzV0UT25PXtD2L9tECBAQiDQ099T
Xtm6XV0RbNthKEBDKvPk+RCGoK45AXAG0GXBedjmqJl4xb5AjlgBlqooebftrVnbRVWGJSn8YT0N
yUT/CyD8jzKY5vFbcPNrT2ZtFxVdw2jm3nyqQr3I54bjAcu0WrkXHsa+q+ooXcYItMpsVIzBOAe1
C7EpWnRtYAVsixiPkU099Z6Yjq1anXdcLN7XbW/O2ktIj18fU+mfOkQj850P8smY+2vp32jN+nOw
fm0aWQHj1CVz1AGMdYLXbOkld0BCEZgyw7gRnmLCUzI+X8w1yceO6gT2azJWQ6Izicp4/HWiNXMf
NWwF/WMbesz5CstduLL5M0sEJKVYJ4+jgBePzMolieL/4KlZt8/uVF/WyZ6EsAuPAev2Xsa2ig1g
MdVyS79ymTOvPJgtEXRB0fbCJaanFefFMvWNv2r4VvZVOT3WirRTlwKdHpEbw+BP/P7a/ax9RwpR
JoaX3qkjtcJZFsaA+oMMpC4PiWECPjUUVNND4YBNcEAlxiFn2g5N+aCHmc37Ck4jtwi5r8fgrq03
rJBmjZq2cE5xnMwkTj2hx8VPK1EG4BqiTcgtbmUwr8w8W4LotuhgH0K/PglOEjnv3KaOigPgD0t9
8JF26h9jL6z9b0VZdea7kYTG25o2oUX6d6N3HAq7JXixnKoJTYVCxOQMiPqtNsBr79Basrp65V3l
8Pa0iNX7RIFHLncVHE4JEOFVtK2517XVizwpuZTIJ59Cdx4XOF1TEh6LEujM3dvrx+vnQdfWMYLM
uMIxKihOTXyJNlO4743BU9jOrb4TZJDrgS+t45zg4jaoXT/WUZjVkx9ug6G5tuRx1XLwepcUd44W
6v0URG3WErZsi/VsTxpABSisa2VyN8QXvzo2mjsx1fG2+MWWADL4cnCuHfcE2ID6JVtXwMFqVpvy
ACgy/Tt8YU2lVMcTju7rZvycUIDdDpChR8WNL38ZqK+sR7YosOrByegW0Z66GA4pnRTz84CW7E1H
KDeydlyGIippZVfj14fJ53DWXKZoxR1ufNgrwZ0tEtRArEkUdJpTIj01s0wqFvIM2NweLu2gc5j/
YMrCazCoGyrH+EZIee2VWZutV4I4U5rWPcHaCraobh2MMg9oS6r927PxyqJi6wmHzgSRg3ahEzpQ
xJiOcnEZVhVYxH9DLms228ItW2HYwGMsrsJanFhNwP5qQmwwu2Vai3Xb17fVhqXjA5brAqnHnGn6
Mk9r9FASqW5spVc+gy07bBL45y6xK09mmmmVujhhwTpopfWHt7/CtetbUXaE4IOChzSeFBynqrRH
op5nEzy+Pm67vjWzkSzntQSI5yRGGL3dwSO0Wj4SwYfkZdsNLg/2V6VnCmCpC+/LS97f1yptFqq6
u6mtVX9jnF57Q9bsbnxfsCVc4R1EmPpUr86QVQA7fNr28630S8TbBZTlSp1AeZi+LDoQUH2Nzbjx
8tYsntYAbG4/mk6RB/diwCsbqvOajnLbtmBLF4uoXZxmCmASDn/IXyF82DJYgc6f3345V1Y+W70o
Z7CnPJj4nRy0BsNAY5ySETWPWXd7PUEFcewNodN96/NtPS8oTP07mpAgYXMF7fQJ7o6osva+PxsY
UZp145nZljmycujc1R3nExEkgMqxbx9M7W8zGXNtsaPu6kh1yglO5VJzYEVoc9ZGDu/f/hxXZoIt
eVwgK0+QnEpOC3xed5oE/L4FUuv721f/09v7yiZte/2EYRHiJNpFp9IoSVRqgBLp7yCzWEMJ2UXh
o6Iuqr6N85lGjH3mw8qmndRuxR+aEX61uxs/5DI5Xvsh1owfalaEAZ/kyYHzXz1lq4aFZJm1Esbx
sC0uVvcOSU1YnsfDkHwMSD8E+6ph3vji1IUq6nT0wT7cNsNshaVsA+msg8SI9Fqk3YOBv+eDw7Yt
brbOEhS4bgng9Imr+zLJpnCVOP0uodoY89qCy4HDABykqfFEupblzaLGcxett861V0akrbysx2qB
e2hV5SMFsQy0NHUXeFF7YyBcu7q1GPAwMarwx+LkqVo+Y6UpP7Sx597IQIWvjzJbhzn4TRfD3LHK
AVPo4m8upETmwCLHK79EyVwk79pBeXxT9dO11ZmSADLRLEGVAyTquxmLpPfkTYEZNr4qa5tfKCZm
AX1NnmgjKHIXJeenxIEI4+7tSXntW1z+/tc2PxS+lrU7JScWBOZgygBGoJ5q4F6+7frWnGdtEqAV
oUlOvm/U74qoAl7LJcgVG69v7fNsrWuDtXI5TWh723tIjx1GXrkb3461zSMvCmTSsiLIBeLzs54H
+kutiboxUq+9eystBrlMSYY5SU4qnOs8Xk19X7T1xllmKzpBiCAjhyV67ks4eJ+AtYz7B9Wz7vem
L2uLO5HnhfEjTkx5OHYoQBVy8EEJD0Hz23b9S/Dy98gUnNalmnjOdKNz6kZ6ATBL0Fsj8zKFXtmN
bLVnAp7FGrJOnpTDXfezQdeM/uo0COh+L7Ke6Lttj2HN4GaUJvLnhOfQsKl3bhGDSZRE27xoXFv9
uTQ+CBu+D3ClUnEEM3JjZvjk9+220MQWgY6tOyojWJ3XIRDnGYcJ9JBxMuhNIiCwLf/9yChPw5gS
6cu8SZZkp4qBvYPz9jbfG9emK/loY3f9eC3zsGKOd+BB2QSPczsmG8N02xzMHYCcazvPOQGrCZB0
0s1fDc4wx01Dx1Y9zuDGRED98NwxI9SpNClGNPQiA35Lqf4n2HllDtiyRwnqpgOxpj51HZmjUxIi
m5OWhE/BQcTRyI8FHP+LcLc4k3Y+iGBy3LxEJnQEnqHtmq+w1xb1M5eBLj4hXkwAnqAAt667IOl8
b+85F8qJbFBYzupOLMMA3giwvKcAGAz4xdZR7L/0q2j9fcCaQoEquTLnLukUgCCd7IQ8hLQV3h0b
6OzuwAaJgrSBg0D0joDQ6aQAXibmm+rHqUj1arr6R+eAoL7nhUeHxypxGdu3FJ27GRuVp0B5EWb5
1KLPimXM8+bfrtPx9dF0rprO7cVOv0pXGFC7KGdXXefkEiqycU5d2MzDTH1lcZA8YrUrYhyXVn9b
x7Jry0O71cG9USs/YQ7L5Q5Iv7LJY9WMv7YNpEuo9NdS6vqR6QfmdjmtXX1OyFA99oUOP7199Wvl
Hdt0baZLkADlwvMC64M5Abe9oEN08JfmC00YuIQClrP+t2VsyzLz2eixXdjryQXtGcPvZxMtZHgq
Jg+oaSBNpIHDy+w7gb+TblJ6ftq3AFrkNTN6eDRL781PKPcAUJBAJoqDKy+mxL+Dhk+CgQuNuhNu
q4vZKlSDFAtEf32dk/5i3E6D8XvpGb1xdluRkY/jQe0OAoVkP15OkIoA3bs2zY3M7yWWfm1mWwtr
BZDHmoDFBv5pG4lqN8WciucYhu/RsVsX1vxSogT1ahd3Don28GwN9Mvb4+FKWPNH1fDXaAOzrWML
i1UOzxf3DNbbkNedNB+2Xd0Kmpaw9pC4dZpcr8kMIMGoXgzYYLcaS65EBbYqVV/a/CfkzXMV0z56
KiNAlZ9AsgIVJO6XYlvsZEtT5QA6iXSKOteVcS5kAHDVsiDBq9oWPNnSUh0yMTMKlcJo0OmGqhwH
/mZQfvVl01ewNaUVHz2z8mHIS8gY68ztOP/psI2iUtcWlYaEDjOIXDwfWigLG6A9TlMoxLZDmy0q
7WeXRRq841x05byLwc58bEt2y3bw2giy5rXyW0p8qOxynuiBH40gCT+IqjER2i37cRv107UFpOho
pZ5OCp5L4Y8P3VCpfIgKeWP5uDKHbQEpIkovLqcCcxjQ1/0UtN5Rg9q93zZ6rDkc975GX4075AkX
/XGkfpTyufK3Xd1Why5IiKxVRfvcF6AnZQ1jcwROXRiSG0HrnyPUK4urrQvtCAjn0vHGPL7Qze5N
1VbqBXwaBt9ZFk7jFzq5Ibp2pyQku2acF/TqVXJcWZ1FMwvGe+VMIfnUd27gAnE4BIR91b7f9OAa
IbCqHmuuWfMiFBPFjhi3SP4b6QqHfRRwyyD1q0mSlwGwsyobPSF5qhm/wAHjUFX9mCJ/V4mM6cEl
p3GtuL/j4DAWu2KteydKkwJyvRzwxGmedpQBmpdVo3TKDz5QaPRjvYD48czaHu3Xi14WGNMrKDS2
ZUyILRDypjlyAZuSeUFl8wD+kf6N5BjfVNYhtsuWAOWNgUfl5UxB45Yar2hTryb8Ri71yty2fQMh
L4O0Xfb48M1QrO/6GGyn9wwsgWAHrHOxzb3DtZW7zQQLI2doZb6MAftA17EQQDlNYltlzZbtysmJ
ERksQ94OEdd7xzSV/0VCH95v+gqubSw4EgdU0L4R+YD82N5NVnDGZqpu/PwrcgPbXhCYNxlHnMi8
1wafesfaoCiyCFJJ9NowLITVsaihtz2iYawxWZ/4bfGzC91h3Ph4VmzF3GmZq9ZVeYGQNi+mav5e
DUAqblocbWWvjrxiFFpPeQh1DTopHQTWrQJLNN12fWvxlWW/NMCyyTwZhuY90kLrY+A682HL1Ymt
x5zAQ0IjYzvlPmurL/NsJuBQx5BtSsgRW5CpJ1EPrTOHp3pi44cGsf6Q0tjbFroCS/bvQUklizsZ
zqYcbiF9Xio3+hQhh7Ap4ie28tL0bILwtVb5MrPxGe1acQ+iXhFvfDdW4BGNq09cQ8c88vlynIjr
gD2AQ++2D2sP+qp0ByIilRs/jH8Wkxhl6pmebHw3Vqa11h2QzL0/5+sUse+1nNvnYkIn1rYfb4/5
uh6wILlzzkS/POsW6XMUzG91mr0eLEHE/++oqREdDUINcz4HpnIetAm96txwgdPVpp9vOwbSGk6z
raHhKZRrN+04mXpnP7fQVm1aE4gt5lNxTyodFnMeAENX5kaE1JwSr5abzjvEVvBd/FymOuE6N105
PHCmx3v01sWb8ujEFulFLGoHnEBW5Bym9tih8wlwjGYb6IjYnoIcVTugWx2dw1eN3ve+030nhpBN
qz36Z/8dO0GDpu9REC9vKu1ldMTISZa6vtFJcG1kWpM2HgNR0QDG1Lpv/G/+wornmpB+49XtOQvN
g/BW5ucJBMMn3rTsve5W8mPboLfmrDe647iGjpcDxpxA+EUg5c1m5HFfNl3f7hBppQeLAl/4uU89
5BlxCE0lmFabzpjE7hCJRyD/Eq+iOfSCwH6jQ2GKstGRzjYbYGL3iDC1LmIgs5+bPkiAZK1wkg2W
ftuU+j9ZYhGXHggNft6OdVjt2s4tOgBa0f6z6ZBGbGWiF3GlgdUOcqfxm//A4Vv/YzIItu0mti5x
kjFj3UT9HO6KPOuiSv/soDzfFP8RW5do0HtIdalovhLuEzBzxtFJJQcqcttybCsThSu0waHYz2H3
K3ZBLYWXrj0Kehuvb01cYMfRHlHONA9qQac0HAYYZgjGtxkoE1uCCFaGHMq6DvIIIbj4XHhJE/1Y
y5Fs40QSW3xIw7qhBcwN8ikgE/i2bkc+dKreuOTb0kPeAt3uoCUzpwPOjyUkrc8Gloo3dKdXFmVb
elit6Fka/cbkiwD8eidQfRdnMoI4vi1cCMN/95QSIauaTLzmJTLmB/CmwczykIsNtg2f8HI6/ivB
SwsTF2ySXm4qXRwjEOefKtFv056Q8PLa/rq6AYNpEGsZ5B1X6ufaJ/Iog+JWf9K1l2/tt+iHXgQh
kuaqh1a8cUL9HSs03RZn2gaJU9z4geSTl0+11B+iWEcGKHuxseGW2FREQEWVAVk7youuaT75M9WP
Cs2VG3+9teOauGzWmGDYu2g/69DAJOWYysv6v2nHtWWHcyXrFeU8kruiD1U6Rg5t7+DiHgUbb3Ap
hvw1dJIejGxA3Wkeu6F/rF1AsgFNj7FCbHsA63gIDRrsH0Awz03smDtWBPR5TXS8LWSwRYakllCV
JpOfL8gS02OwyATudF01bnOaJf+nM/RrRK8am3rBeljtolve/5EE48dtL8eat9RN4C0YVSQPpARU
GmV99mspA7gCbbu+NXPrWiQ00I7JwS8e75J5Mh/iEiXqbVf3/h060MW7ax9qP1eBBzu8qoo0O0aj
ozcumrYikI3t4Dh8DXNXT+apKCKhsgLVTWfj2LQmb9/qLll718/dIgJXvnXb58httzUgElsQONcR
daIaPOygquv54MVKxMcGQpZt8aYNIERe2sQGPNkcCPP4W9j65Efjk5+bvq2tCHSGACYOUROhZDiT
rOSDfoSW+pZr3J+i1P9XA8j/aQAdHGq9uEpyf4x7HmfKN0OfIVZeZCromhT7hCWgjvcIgFSSTsLQ
BZzvZE32lCs/XDNduMxL8X9r4GgXo1ZyMB0R60dAa4tteUVi+z02JRpNdDlGOXok5/3KmznAbwEN
e9sAtI0fg26ukQTFvr3OffmVjbp4Z+bKMxsvb03/iFZUgNEQ5OjMKQ6rU42fuAzjZePlvX/nv0pg
rxgtAc074jjjLinConsOFNvYsEFsV0hgic3sDzgs82A2HzwZdtO+jpL4pl8ffuhro9Ca/1CLwJ5+
7GkuHZf/XBwKdn0ysB+bppAtJhxjPeAU7sd5WPOQPgx01NBqNEw0n7bdwNq6qxpJ3RB9Xrk3dQJY
SI8HIm2cYWNkZhtGlrRGrXdd41ygAvdippbslgFmeNuGjy0m9MOydCRtac4LpzzOvWJBWnroad4W
mtkWkn6tC8druiSv4bL0zLlqPnoVV9u2VltF6KEwiFxC7OUg1JD7oBmXlyIcp21Rma0hTBgyLT3q
+HmNYH5Kk7KrWVrV7a329cux45WRb2sIm0oRtqIpNx8q6Yz7oBpJd5hrVbA0CF3/3bYBap2ZAcit
GlpNUV4lnbtHwUQeAMYsXrZd3Zq9sxPMAsKzJIdwR+cecYZ7zzTbOBPEFhImzqCjAZCB3FDXO09B
wrMADWnbUpi2iNDnbR9Ig/YR19PDJzGhGn4sYKyzrVGM2Oq4EfXVsqiL+gx6+bQApozaPgxO4n6b
OyOxzRNpZwqgfur6rEuy0PO06F78RvAULTeimystOMRWyCntxcT3V3aOZEvdPiOJL5s9wzxGU+Aw
qQENtOFUHErDUP5Pl66rkjshpC5ghoD2d72tOmcr2mrleGE1d/W5hF3CXdzBIZXVjXz/9iC+5Bde
mYh/9IF/Hb9W1kYdK4bm7FbaOODJ4UU+t7CDpshhCQnHVyPhGvv2zS7Hitdu5uHvf91sDoepHvla
5AsSHDJF+QJ7xYCm1FsMkSvLii1jgxRVjKKv2jP1gmhNoyjhUVZ4cBXcDzjR33hn1x7DnviENBPa
YZqzU0TDo0dKHqYT68TnTW/JlrM1i0PWKibN2QA1+wseiTyDzj24sSZe+eC2jA3uwJPE3OnOnunM
3QwPkbseYvqddoL2pazILQOIKy/JVrOFVaukXy3NuQj1CEzGHGixM1zC0Ojt13TFWIPYejY4UpXu
5On+zOq241UGHa7/U9dwHP5dDOVcoI10MUMK6Hh97KIAKuF+bVBfhflInPvQp358+4dce9LLYPxr
VMewHzTFyvm5RmVFZJ4rV5b5Lhz2bkyba5/scuO/bkAitZqybsS5AZTvJDu9wH1QyCKL9eTvDDO3
jA3+CNFemaC2t+LMdNi7Me4kaaE+JtThR0q9Lgsrgp5uWKV8cS4VgFQtfZ8OiGiOppqTHYTdZh+A
N/Vh2xu11gl065QBcWp+NtXCjx2MIfZ+vyQ3FtSrA8cOC8oJVBRX4X2WvJ3hO4Gm+IyKgXVpFNTk
SXuVt6RNz33otoDU8w8Q0ZPf7eCxajdzWvk3hvAlUH7tdVsLSTONE5v8WZ5FVQ8868PQ0w9eE1ZJ
KnzJ6V0sZLg8ykaFH+puQPjy9vu9ov4mttxunNDdBdfs8Vwt7XpS3J0y+PUtnxD3PSIUoaibVk89
9ZefCOmhdV18f1f2wi3TEL61d7Dx1kgFXnb2qK/7VLRu/Luco+S+DEEbL6qQvV+hWr7DzljiwKzX
HBym72//+CuzwRbyJcTRsT8t6uwNYXtIand9D5vY9egb4/8i7nzLO+rKtLZ1YwoyrqZrJ3UOChwD
04BG2FHcsJI3sld/VsJXvr6tGAMPtCjjpBjOqOK09U7oSPNsHvVs9tJ3zHDveEv0Bf4/BTkmfSHM
cSClRzMkwXm/YysdmlSaPvYf60pHhwEwX9gLJXPkHWrRMXJswZCe99veurXI9dOA5ulm0GdYEDaQ
7K+EPbo4jD0vbJWHLohv4YOvfV5rsavXOUgS481nqs3aZNHgJtncxMER2ZXy0Mk+vFVRu3Yn/99l
1eOQBoZrKc+sS8r6HUAHsbsbYT72Y6iqYXjWpQ42JlpsEu6ydqZ3unY5Uwh+R/BfSxPvCJunG7v6
n5Tka4PJWtPKGY7HgQzMGV3GlOznOTYeFmvV9odxxV70s5eF/iIax6e7qB9bmqGPI3wpm87FEbIm
dZEJgGTHdMVofKRCdPJQgJMDA4+hjD8FRnrl577mTquy1oErnMimtvLH1OHgQj73CpZSA86JhZSP
NKSq3s2riuIPRLhxtxOkV8M7Px6M+0nqfub3UVzHDRqDirXps67tnISjEy6ZivJYLo0six04i2VQ
ZtArdMsL3BWRIsmICAd0vkdDsoidW46d3E3Yhc7jCInWgRCv+TyjEOWnPsAjJ/T5GrJn8Ox9WiD/
+9nQOPwFhQy8PQEc3AbMIMRaxLtmDLnuqDkHAZ3Pei38B61CcWupflU5CW2eJVQiEH2Gqi3Vuaid
Yjd5JhaZI9H/+2UCWkSmnjRcpbFeq6+zonOfKljpJcj5eIWfxn4Uuh9KmMrMMECC7/OOTgHalKTn
fMYXSGDWroIpR6EUO0DosrIYUildeh/xyMCwEg1V9T7i8/SDdiFpMgSm/bs24l5zIHSFNW2HaBId
Z0DPDjfOXZcF5f8GMp7XSiqZeAnmOVzFGSWgQN45Ug0PSV1P4yEBZuuGu92rUx83sYpCcdDBLEi7
4tzqJaTA9AxBnCXTkFQPOP+Qfd0GvNhSIsK9Lr/hr+gtWpyxXZdiPMtZ9A9owBVLarSvPr29MP8J
d197YdbK3PBYuLBsHM9B6PXTMfSp4nngaeeb79R0SOGy5zeZrv3khQaBnjIHWd/kKPuevMRLbMYD
k/hVdyqGN2mXjC5kBevkflarcm95cr66l+IdWIu645aeh7qPex4DM++cJgxT30f48fYreDWMwtWt
hRy74ez1HBFBafhaZoVymdqVsY9P2Es0+qdh5xUfQzM4mfYmc+OYdm2gWkFqA2ApL6JgPNOxiUTW
tComaeCO/B2LnfHl7Ue7dhNrWQeNA96uYvbPoqfr186ph/8wVfl3p5a3Jty1uWCtX3Kc3WBFe9kZ
fua/O1E394UuKbpjO1OnwUD6/zY9iq24nIOoDGFoVd53BQLFWQXhhxA+i2jh9IMtKg0Ija21gxB3
CVwhyXlG8+QzjOLnR0gMb3nyX/kWtuDy4pumfbTBnDvSyCqTgwNdJ8ju6lswsG01EzyDtVyA0eeN
EMovZ7SC+HtwLthHA0O1G1Pl2jNc/v7XYlTAu0CHlabnqPXo7wUtpvtZeWI5rFG5bipr4hGs2T7S
EPuI56znS5vTHfFk8DC1o7kRN1/ZEG31ZbT6BZN9Qs+AMond0NHy5CAsPAd9GWVJNa/1oUGvCtxw
vNYc/aHa1CSGx7ImPIcTTr8Ojn+mINXmcprokCWNZ34GXQdK49uz5MpKafsiJg2vW5Ks4bkQk9nP
4eK8gMBuDtuubs1118Nx72K+cc9COEnGSctb2Kg5642j2ZXRZcszywDpJIAeQnx4p/tCDb1opBz5
LXaUv3v7Ca7dwpri1VSxIUAMdL+UcXinqy787rOy2cXt0m57SbZKU8LbrFjgFH1WKqjPMY8ZHPmY
uuV1c+0JrAneJ5VOTJBEZ564cucO8ICjWtE7dJr5N2b5lUFkCzUT+NiNC8rX52GS60uTyITA03aa
v7z9DV4/uaLjwprgAjoR2YumuK+mORb70fCo5GlAglKmMiJD98XttSbHpkPl8RxrStSuQu6tP6ra
DckBuvjJfB3gHvAbvf/rsqtNgM5C6glnyeOKJAXdgQTdeb/f/sHX3ocVIJimEF1Pu+L+opF/H3bA
r6XtsrAbA+aPlOuVEMzWflYCh5DFtN6haeBw+0iIz36UPF6cfS2BJRFPzcR6D02DbglHBIrjTtor
ooJMD45J3hVOa3KYRiywWBWs79IyCPi32FCqd3VQIrSjcYMkZtzEhUyXqEJfMI8waLJhrjhPi5po
nc2UtAYByCIe4mlCtqxkaOLJYjY5B3SVN35KQlUsd2XlTXekd112jIs5LOEa5hk/rUtiviVjQ5vM
w42PDoHVQ8ZX0Z0KB/4YWbmiUWgfT5F/XzcTGsU4wUnRRx2yfpgNJ84LMQkpUhRQ/bsSLV3BXiDe
dHZo7DJR5tVLtx6Uj/rJbi29loIsyOePwRKaB+b7WCC8ZQninVdP85FiangoqYhgRGZ91cuNspfr
/eEpv/atrIiKBi7IxXOxPJUhvBIB7lHITQ/lxTY+XdyFNsd1LIflzlvhHndfK1kNZ4ZC7jEZAS7J
RxyuzFHMQhd36vLb+TKH3sXiFKWtC7H2lDTQtz6pQkUeIAZ9wovnpXEXL0OZUKjnsnEmsZOOZneF
mV3/YREl7nWiRgc7HldTva9hM9DvAX6AkU4FoM3F7a8lxQHeA0W163lTt0d0inbriwPO38OSeEbf
e93F3DnteONRiTo54rpdZPT6K6Yr6pQZRY7sWU0qkjksf8nPXsRemTYTRbwPcxA3yBihM5KQVPY5
JuDkZVMNUh80he4akQo91yENH1in42m/rLWjHnUVdu2Bl607Hcp6XMhTQwf/eynkaACxF8UcVDuX
YlA9m97UKqOQeOsuC2BgaPYJbwI3LyKjqjvf6+KvlewmdgqG1dMc5vzV6Dz4ZbTGYF2U4Pygd6ba
UTEuYO+MBtpzb0iSj2gnwxG15Qozi7M1hhkzVFrhqdExfc8DzpLf/pRouXM6xcYIhixJYZAsmwOY
VMTrhMR1Oft9mMHQr6ww2NpBw2CvG4KXwIPrWM5QAXdhIwJ4h/mumgCNB5nrwGLvo0MXIvc9kuTL
EehyHrwPg7Vg1aFvZTIeyrhcl2yJg8lPNew7JsAOva4d98XUrk/6sleearUAyKanRuZqxj+evbaZ
jmBytGw/ltL5OoQLS3ae8Bo07MM0q3saCAmmxzhsZPSFKkprGIwFF68fpD2+wCJVJSK7mLF0Tyru
ontBB6fKAPKYaTrFbVNlyuWKwFcgCfXnKhx7pO9D7v1iIe2e1erh8dGjzqYPcxvGNQAj47rsp64E
FxD+mQ6s5RB79R0c04aleRpa16WnWThCqhQlNh8lpUYo4T06Q8+BQOZEJ3GVKtJ57VEmDvAzuygW
CkBNggyFe4KvQovE3mgcI3A2jWh98YIJSe3uQqF684Qc8iTZfnZHMYw7R5GiOiB7HbFh1yNZuHwd
u6hN7uqZNJTuBozW5fMUdQEY16xnMDbW3hzVv9Ap1U4/4rqQ/W4Y+FIvqAcV1ClhKiNo5GWB27uo
OCRqrL3UD8FRmU+Uz1SsO4Ris/Oj99bFVDskXWDQ1WoJCu2+IEoTls2ymWG/1tfx+LEi8MxMeUzV
gCnUO6gjnHDiNd5Pv5xjYjIZDEiuhWQZz3wIdWPShS8rL9N5hdLzcqJowk8Di8qvpYu+7ixx6Ly6
e1D1Kv3cGlck/e5C1nWSoxrHAoFu0tbjz5D5pf+SIHUy50ZOHVUHTRaJEVxFgevvmpLKsP8fY9e2
HCmObX+lo985gwCBmJjpB0jy5vQlXXZd/EK4qmwJIRBCErevP8vdHSfOzMRMTD2Vw3YayJS099rr
ckpbizH/Hqefm49iDQyFqX8/6faOSc3VNY8bTZpbjgfcDeWWIGJ2OE/B0lqy85CXtMhOgb0OVwcN
/0ULClwC08lT01KvD5CLsb79jqPIexxMmCQgiY0XhOV59zmCK3ssz6MTa5QcopGBxpaMW/9ICPm4
/RDvhz3GU8fFbt18/QmmmmotVDT1z3HCcmSQDI1+RE7iRgoWmFyUjZ4hoQ8Nm79FSglZ0iGfgjJw
JouvfZra6ATEfPlGaIT6ghAFggyZBimPaWNrjCKjtJn6c+oxwdqtDfJFC8N9dCO4XElBQfrfYAOc
1NN7Em0BOcJTSAd7YofFnAOdYSoCWUOHJGZFIBLKFVhcbWwlKaMhav0djrnJHK2HtdEuycc0hNmd
72xceJhE0UsWJu7Y5pQ2hVRjNn4CDhW+cD2KH2O3hFlBO7LheEe5Eh0oPnZY2SMlz6aZ5Re+0Pib
0CYS5drR6AERXlQWwLRgS1RYhKqaMuw6vj4J+K8d+8S4pcQgHLXIatuxrJlZzEuNs/ULhfOC3/k0
YebQgtRVBUu+jpVps2Yt6wXlSvEhOQmR3ukW9TMaM1CwWKhy7AHKs+O2uEHfNqydHj3a1W0f1gB8
CpB/5XgkcSz9nqGGZuXWdZCrzJgfvAUd0LaDxF5O35FMNnSvS5eQ5smMiP+ojIQLWLElQ38jkUaU
FlCQNckuJ5iS4XMCzuwEhYeMMY5C2QS0tw76BxN8WLF0mOANO0m8NkUgiItuedaKoSTgeg3FwrD1
FFktgu8jJ/MLMh/V21i76QIcrA120jKAmvkWDtkpJDq+Q2OP6EfRa//QSBKpotNbf4KiDb1fqCZ+
ayybEDDW5PPrkDdJ/jVYZb3tE87lWy2i2jy0gjBdke5DGUvSNrqfdZb0xYwp1jcPUbGv9KzJeJfL
EQVXRIcMjhJ4jEFhBZ2+SxENQaGxGGlRT4s3FWSZASQogJ1+otkNeUmTLnvsE4WykA2D73dDtLIL
ZHgoc3EqeNYUiUItkY7dx5ZUT66ak9THP1Zke+wbrZmo0A+KbzXSDfIy8ZhGlgIRQGYXwHziNZi4
65AVNelLRoPRPswRbz8hQVinOyEg6l+0z792KEyHo0SoQFelymRN2RlIB/YUI8PXuYUp2TGNg2ap
oM0k7W3AZb6dojGvv0guLD2wgceXYNXNBufGPnnKp3Xo7xIwPO1NS6ghVZt0GDsbpVNWavgADpWE
X850xF5OPnEDJfgOohNkinTeuFMT9SCFAvOXeO5Zbz1SVTsvdkhDbWDgtJLpivmY7kG+jtfXqV4X
WiS26X7MvE/yx0V6MeCDB8B8h3rXj7ctgnKhCiRBPZUAv8etwmGGWfBq+/o2Y82EGVU0wN67s8oj
I2Ug8spN40SZEMqvK06mz3okKNJgg7byQ2O4k08T/A483rGWgQqTxE0ZBZOci6ml6RWpl07tZb9l
CyxRxHDBaETHVztvfD+jdPHPfouH8XltOv1TY71FkLSZ6VFS5vpC6mxTB3Ca4a08zc4dakC+QYGF
qhZkwTqDQoYn9n4wyfI6tFaQwsJy2BzhJSr7k4Rw/9XODptFgj10+9TEjXFHrXP9jDOSjEcY3dlt
LMOxMakqIFQ1plA1CpOjdQ5h0RNbbLsDjcq8NEEeu3M3J/Nypn7O310oO/7VBJrxB2S7ankJGCaM
R6BJ67DnXrEnj4yr+FEmDCktKDyWtoK80YNcRW26dSUG5BRzWVw2ust04nN4zKHHal7iPPfmlq8K
208NQzP6OIt4DQs0o0N4DLjoUArBNjgs8n6DNaIJR8lOXTfGcYlFZHTRbYglKnjLG/eBgII7qFuF
lO5ZsjQZD7ZJuEGstoHM8MgSOqTkiqU5Ko/lMMXIwE7HRNQpAkhi+BEUc6+NMSUPG9AcqyCtEzcX
8wS38Iu3MC8oOBLt+XJAnc3MDd79NP7BI+Q7sXKmHyFV2H83gb8fzcisWUrl4cX3DB5I7cGO6IRm
t4x1FEnU4WqIO8bdQIYXkpJ5YUW4aIXe09Z13TWlcrab0r0JORymv8K0ZPUw+4MvQ9tVEWq0ZZ9P
vcXZwdKY9G5fhy3oLAU8f2tyCLStg6lc4ybUJ7T5mbvfcCSsz3GwNmllRxKq0rA2CzCWgtZsOGWW
Z4xgpIQi4dEbRtt3A7bRnCA3bppxjNfRlCdfYFhUI7+9hWF382VEJZpWittogQNPOEXz0xD4JEXM
HbSzY9EJJpOuQqaEwMaGkGYUzrjxKI2CIoWVTt1WGSrG4HUOO0TrFNk2RHFbLVY685DnfU9LKyK2
NCUiu6z8UdfYvOMStUWcP3XZEkVPoAY39qXdSLs8yCQep6iYP46zc5MAOzizKew+/K1jszEk+EI0
w8+JkDkOXkXh5vCM8b0yB+jbQ3m0kpHIFqnL6rA75mvWx7cCaxA3h46yTu7IUsfRz3reFnY7N2AB
3COcPU33IfjPk9xxzKPiOwejFOJxaCgVN+ge0UXGQAehYj0i2xYptMUYdT1C2JHzvIBt4VOknqaY
gGz3mOHFAwbnw4K5aJL183REp5XSE4TmG2RWACUg5urnKNseO2ua8CUEaz95sksUD59DWGUu7wx/
N9jT1oXdeRpDGpyHUPH4Hv5JXtwmCiKrC5m7xd6HOtbNjRW1ZmPhUYHF3xq1deK6pg7JJrsgTmWq
izgJOfALa9PcvWxIpfBfJEptkEd4C0GMLLQe6vRYC+n8j6aVnp1sMmb5DfbjYLmB30dGp52sV0QL
JaNJYCmSh3A9rSDUjMn9huqkv6ZwS2oOHULGYDJTR32yXAb7EXeBVryf6Dn3fB2uDVpueT/YJoTH
0yRbeB/CAmcQz0RbSFCKHvGK7Va5QPXyJ+JKZXc3dzUKszJramfOOjVZH5VZLI1/yWqTBZd2+UCX
ShrB8LIpeNIu4uR6niBLMVwyW21ITN5ArfRjHx46eF/hiTiNLmCXRy1kZGhS2ayLiRu2fHeEi/xH
xpbabzv0AmFz/Wgk6FOmZ3isjdkm22+COhFf8BlfM7tPh9FbU0xdJkZSEDk7eYX4jXQa4pEZ1oK7
JRd6UQi9aiy/SdI8BqkCycl0O/AmG4ArNAQ2nSUNY2zQxZZSMr+1HI39eajtym8kcKL+ODYkDt4E
3JaBWeVr3V9yv+V3Trh6bxdk631fUip4RdZkzYqsSaNPY5gP/kGsiGaGOSSLqtDkrb0g+nKRV3jH
z/QybJi+3qptYC9QGabNyY7DsN0HaET3ArX7WKx53MF43wSkVjuu0o0c/BqNyY3pkb63j+YWt+PQ
Jn+3rA7fBG366blGMmm6M5HOaDV5wFWV0hvD5me0qu/4mk2fdd7Carx2yIc8ON5v7wnqZ7RlIzRZ
HgFniejKdoohEp0tGumtH1hQOGNQzhRiGedrhKFBerbhOLyALKzrEu79/mZuqUCaSErNhLd8hXUT
CgBMjcAYZkD8Wjic3wYdQn+rbFVRXuRzHjyhPUwfuxUvcoJJNmiFOIDW8JSmbr1gZSIhuwm4ObWK
SXOH5hN5JYaMdKnaLuuR5cWXQVWoqLvkwPnYip2NpwlkQZ3z13RZaljTqpyZE9QDoi4aiL0zRHl4
OpxAlwg/ZTmyDAvXBaaTcGyV+BjPYY//d+06JEXizZA8bz5HdzlmVBcLGuEPzJbFBG2sJi/bMGNH
b6zM7YVAR1cf8RAaf+Sjy1csCZahVoBSBxHohOMFILNRXyEjQU8Yw3z5bDjiQDG7Nskty5SlxaSH
/CbPYNlVjSoQmI2otiW7mkxcnw36iaGabQx6FEEXHe40zjtZwnfSpF8dkzS6hTBori+UBfMGETSC
OqpgEvUtOhjBy5nl0zXNwg0Yrk7FxWRwfX6Y2do9eKxbtR9xUMH5kXf5fhn81h8+6sBvY5ubSxLC
d69Y58D1exl3/gm0Zky7ZN8GtMJV0/aCZZ282/Sj7M1C/7Zqt/BqTdeN3YVQlP8UOG1lOcUJkGEW
J2jJlV5ArNtqOasCHhFOnTqtPIwLJGmAXMQcXRnJ0m56XJYYYQgt6RWrUKbRpXAzEr2LnBCIItc8
Gzb0Q8ziiKjbAMn2Uq31LU4zRdHhBkSUdZzm+Z6i5T7DppfmBVJwuhw9eLiw0ljudDmu1tL9pKLY
v2Gfb3v8Uj7cBUBooipIGgf5j4QE4l4lLX+PZdjbwmRD8BUeppE6L4Jmj7D+osEjNA0mLgODQWqx
jFQ+iRqY00EGpv+Sr4szRW/T+rKSYJuR1MnaB4Dbo/1YbT3sMvJBXwjkQGMpgDkDcqnNZAt0qaAp
Rj4S19DPXh4UppodFKEovx+muJsO0wI2Ulp2nGlyBjzRByXg13VFqFnYv3pwOj+nqmVX3PqK5ByL
3WQheRgVQqGLLzJGk2EXYjb7VVnTokSscxvvW9OwdTfGVrQFXwQqEDSQKDBm+HR9+JrxGpc1AmRZ
C9EjtrWaEF8ewezbkS9dsqpl78N0gKy63mr7voDDpQqaowfBFAWVdTML857DmgtF6pSPyX6kpm/h
H9iBqDUAUXvDmZqoMlere5Bb4t6JUu7Owg5VQI7l8c7HsN5C9m82bvGeZJisHNcRGAkgzkG8RtbE
UxFZRyeU05kE2J4OGy17A6vfLwkq4v4ciXZIcRQh0qBMW7RxV7TYCcq0GDHbd2tjrSqxcffilMIF
ihwGysN+13qdqjskU3bj04xDhjyysdFfvWdhcJSRzLAj1mmYLrtooy0pEWELHg4Tax5ewXcCONfw
2foyRGauqOYsxQHSiIDc8HnSa4E1RYJydYEVlYpldIpXjAAKmP0E4S5eJ6TJ0U4P5kRCH1wnx+p8
LzZP0R/Fc/B9YuMCkIotQASCwbyDmNThs6Ha/lFnXRCXYd+MHjruOVW7KBpAhRqRcTmXVNXbsK8B
PcWnnHj2VOPZtVBntv3wCEfqDENVrIVxJ0JO7K3xvUJ+LwJ/g71LuGeyHEOzjIemtY6dNkcRG2hQ
Nr/OtW3XwsdAKW8deMfXARMrYMD5xg5JRBl2C9FTvNPh2vSPFKZJNUQmjbnLNsHZQz4jUG+3oPZZ
dwjo8HyPQn/gt2JUC9+POnOvmGTwxxABMrzko+xphdgIowo94YaLOZCIUTNphwhq1SNJ+JQPNPte
g2EHCJeHq0KvhPWH4nsmR+aguy4jVGiYQzWwUywG0axI2pU0v1GyIxn2rIyTZ1oviHAyWxg/EduD
tQ50Y+qKFoTr95j7fnlCwxLKd5MC4EbnkEYu2Ptk9OQ8YKYoIbxdxni5LtQG3aeIxIJ+CmMG2I2B
5ebv0YQ29V0K3j+vBhSDnxvWmbaSkJg4HNt1AwgU1qLsAOCSNs/juEpVmJyLj+58SsgRrKhUud20
9a0C9XEAoX4tBpoz/kRW52c0gWqcAFrxRLv0G0lND6XE2rjxMICJN93VWsIt0YB4lJZ5hItUOuNB
GSmUwvnUOInLgI130QD7AhGpB97hKuS6kbYKm5TdoTJqk0LY2KVFCodVmP+iu/qo3TzqrzlE/HKh
7MDQmWbt6E9qalj4EzAGvAwimUaHHoiSH4uki1FWhE1Out0aRdG9llhcRYC5qtkpGRNzyJ0W9V3k
iNnKKa+d/zwujMM4Ys47eQ56PY/FFLgN71KXp2BxhzKihUIgy1xK7Fv1m48xp61GF0ZDZRqYs1ZM
w7/7guGXGWkFbLhZrqvB3Oc1DlHm7NZ4CkwVb358BVJIz7FOpLgZ8yRj99vGLUeIXmiTY5qOnh2C
EYUTsEb0lVdDpIbZuFOAq8Wu3mhiX2oUj/QouqF+xU8SoDPAdjeMh5wZ8m89ZpLh2TaSPUbOIvVR
TB0mBXUoCBKyKMwTAPBO84CpQYdi+WsMIECXdcgyeUSf0LNC0tpIzL+6rMFmyrr+Jm6nTexXzZZP
OGwsnPDHD1lRmi0O0zvoo7bCJpk4ZqaJl3s4Bc7tLlfOYN6xLEuE5lRJfxlxSESXBf4ZwDSh6XtC
5oD+/JEo+LMblPvKMowAzzSo0wYQKRDgOEYabmU17x22BGlV0Q9d3VVuiQGAFpscULHgKUu4cvRb
Qw9uy3V0AvBvoZX3YZseUro0yw7wIEOz3zlY6gq38i8knvN23yVbXZkAQ9YTvNjZ9JSNCU0A1GDh
FLmEtS0qNwgOtxKBz4hlRVanwD2lvDddhTDbNboo7I/2zGchw1NNo9w8AWWd/I1gHqntQZpxtLcU
yVDwt8X+dsOD0DZlUA9U3GxYSoQBzAgI2xFsFgZ+kApxWinc1H4f+P/lx/JX/qYf/pjn2t/+hq9/
6GFFoy3cP335223zA+6u+t397ePX/u/H/vGXfruf3kbnx7dfbl8H+8ve9z9fHUbt//w7//AS+Et/
Xsnu1b3+wxcVpoluvfo38CveIKdw//m7f1wzbunjhR6Q5+Ke9L+8xH/1Q7/f1r99oV/efr+up3V4
+/uvP7Tv3cf1cdzor39+6/Tz779+CGX+8i8v9PvN/KcXUHhizv/EK4NE/j8guiY5IyEYy/gHgq3S
PfCyP76f4vtpFjEKtsfv/8DIwF/8f0/z3z2E/+qH/nxjfqi31/G3/wUAAP//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1</xdr:row>
      <xdr:rowOff>53340</xdr:rowOff>
    </xdr:from>
    <xdr:to>
      <xdr:col>15</xdr:col>
      <xdr:colOff>739140</xdr:colOff>
      <xdr:row>2</xdr:row>
      <xdr:rowOff>175260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D2DAA16-AA7F-E375-7F2B-3C941D4D2C68}"/>
            </a:ext>
          </a:extLst>
        </xdr:cNvPr>
        <xdr:cNvSpPr/>
      </xdr:nvSpPr>
      <xdr:spPr>
        <a:xfrm>
          <a:off x="853440" y="236220"/>
          <a:ext cx="11772900" cy="304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DASHBOARD</a:t>
          </a:r>
          <a:r>
            <a:rPr lang="es-AR" sz="1100" b="1" baseline="0"/>
            <a:t> DE RENDIMIENTO EJECUTIVO</a:t>
          </a:r>
          <a:endParaRPr lang="es-AR" sz="1100" b="1"/>
        </a:p>
      </xdr:txBody>
    </xdr:sp>
    <xdr:clientData/>
  </xdr:twoCellAnchor>
  <xdr:twoCellAnchor>
    <xdr:from>
      <xdr:col>9</xdr:col>
      <xdr:colOff>144780</xdr:colOff>
      <xdr:row>4</xdr:row>
      <xdr:rowOff>83820</xdr:rowOff>
    </xdr:from>
    <xdr:to>
      <xdr:col>11</xdr:col>
      <xdr:colOff>762000</xdr:colOff>
      <xdr:row>7</xdr:row>
      <xdr:rowOff>15240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F3AD839F-D892-4F10-A7BB-088978803261}"/>
            </a:ext>
          </a:extLst>
        </xdr:cNvPr>
        <xdr:cNvSpPr/>
      </xdr:nvSpPr>
      <xdr:spPr>
        <a:xfrm>
          <a:off x="7277100" y="815340"/>
          <a:ext cx="2202180" cy="480060"/>
        </a:xfrm>
        <a:prstGeom prst="round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 b="1">
              <a:ln>
                <a:noFill/>
              </a:ln>
              <a:solidFill>
                <a:sysClr val="windowText" lastClr="000000"/>
              </a:solidFill>
            </a:rPr>
            <a:t>Crecimiento</a:t>
          </a:r>
          <a:r>
            <a:rPr lang="es-AR" sz="1100">
              <a:ln>
                <a:noFill/>
              </a:ln>
              <a:solidFill>
                <a:sysClr val="windowText" lastClr="000000"/>
              </a:solidFill>
            </a:rPr>
            <a:t> </a:t>
          </a:r>
          <a:r>
            <a:rPr lang="es-AR" sz="1100" b="1">
              <a:ln>
                <a:noFill/>
              </a:ln>
              <a:solidFill>
                <a:sysClr val="windowText" lastClr="000000"/>
              </a:solidFill>
            </a:rPr>
            <a:t>YoY</a:t>
          </a:r>
        </a:p>
      </xdr:txBody>
    </xdr:sp>
    <xdr:clientData/>
  </xdr:twoCellAnchor>
  <xdr:twoCellAnchor>
    <xdr:from>
      <xdr:col>13</xdr:col>
      <xdr:colOff>76200</xdr:colOff>
      <xdr:row>4</xdr:row>
      <xdr:rowOff>91440</xdr:rowOff>
    </xdr:from>
    <xdr:to>
      <xdr:col>15</xdr:col>
      <xdr:colOff>693420</xdr:colOff>
      <xdr:row>7</xdr:row>
      <xdr:rowOff>22860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23A8BAEE-6759-4CE9-BDE0-0D1037C6D576}"/>
            </a:ext>
          </a:extLst>
        </xdr:cNvPr>
        <xdr:cNvSpPr/>
      </xdr:nvSpPr>
      <xdr:spPr>
        <a:xfrm>
          <a:off x="10378440" y="822960"/>
          <a:ext cx="2202180" cy="480060"/>
        </a:xfrm>
        <a:prstGeom prst="round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 b="1">
              <a:ln>
                <a:noFill/>
              </a:ln>
              <a:solidFill>
                <a:sysClr val="windowText" lastClr="000000"/>
              </a:solidFill>
            </a:rPr>
            <a:t>Cumplimiento</a:t>
          </a:r>
          <a:r>
            <a:rPr lang="es-AR" sz="1100" b="1" baseline="0">
              <a:ln>
                <a:noFill/>
              </a:ln>
              <a:solidFill>
                <a:sysClr val="windowText" lastClr="000000"/>
              </a:solidFill>
            </a:rPr>
            <a:t> de Meta</a:t>
          </a:r>
          <a:endParaRPr lang="es-AR" sz="11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160020</xdr:colOff>
      <xdr:row>4</xdr:row>
      <xdr:rowOff>91440</xdr:rowOff>
    </xdr:from>
    <xdr:to>
      <xdr:col>3</xdr:col>
      <xdr:colOff>777240</xdr:colOff>
      <xdr:row>7</xdr:row>
      <xdr:rowOff>22860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63ADBAED-2445-DAA5-955B-10EFD66B154A}"/>
            </a:ext>
          </a:extLst>
        </xdr:cNvPr>
        <xdr:cNvSpPr/>
      </xdr:nvSpPr>
      <xdr:spPr>
        <a:xfrm>
          <a:off x="952500" y="822960"/>
          <a:ext cx="2202180" cy="480060"/>
        </a:xfrm>
        <a:prstGeom prst="round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 b="1">
              <a:ln>
                <a:noFill/>
              </a:ln>
              <a:solidFill>
                <a:sysClr val="windowText" lastClr="000000"/>
              </a:solidFill>
            </a:rPr>
            <a:t>Ventas</a:t>
          </a:r>
          <a:r>
            <a:rPr lang="es-AR" sz="1100" baseline="0">
              <a:ln>
                <a:noFill/>
              </a:ln>
              <a:solidFill>
                <a:sysClr val="windowText" lastClr="000000"/>
              </a:solidFill>
            </a:rPr>
            <a:t> </a:t>
          </a:r>
          <a:r>
            <a:rPr lang="es-AR" sz="1100" b="1" baseline="0">
              <a:ln>
                <a:noFill/>
              </a:ln>
              <a:solidFill>
                <a:sysClr val="windowText" lastClr="000000"/>
              </a:solidFill>
            </a:rPr>
            <a:t>Totales</a:t>
          </a:r>
          <a:endParaRPr lang="es-AR" sz="11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251460</xdr:colOff>
      <xdr:row>6</xdr:row>
      <xdr:rowOff>0</xdr:rowOff>
    </xdr:from>
    <xdr:to>
      <xdr:col>3</xdr:col>
      <xdr:colOff>701040</xdr:colOff>
      <xdr:row>6</xdr:row>
      <xdr:rowOff>160020</xdr:rowOff>
    </xdr:to>
    <xdr:sp macro="" textlink="Análisis_Estadistico!$H$9">
      <xdr:nvSpPr>
        <xdr:cNvPr id="24" name="CuadroTexto 23">
          <a:extLst>
            <a:ext uri="{FF2B5EF4-FFF2-40B4-BE49-F238E27FC236}">
              <a16:creationId xmlns:a16="http://schemas.microsoft.com/office/drawing/2014/main" id="{30887F8B-940C-0D15-7D01-BD995EB51E05}"/>
            </a:ext>
          </a:extLst>
        </xdr:cNvPr>
        <xdr:cNvSpPr txBox="1"/>
      </xdr:nvSpPr>
      <xdr:spPr>
        <a:xfrm>
          <a:off x="1043940" y="1097280"/>
          <a:ext cx="2034540" cy="160020"/>
        </a:xfrm>
        <a:prstGeom prst="rect">
          <a:avLst/>
        </a:prstGeom>
        <a:solidFill>
          <a:schemeClr val="bg2"/>
        </a:solidFill>
        <a:ln w="9525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DC1D7D-AF5D-4022-9513-80B0F061D1D2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 $ 30.000,00 </a:t>
          </a:fld>
          <a:endParaRPr lang="en-US" sz="1100"/>
        </a:p>
      </xdr:txBody>
    </xdr:sp>
    <xdr:clientData/>
  </xdr:twoCellAnchor>
  <xdr:twoCellAnchor>
    <xdr:from>
      <xdr:col>5</xdr:col>
      <xdr:colOff>152400</xdr:colOff>
      <xdr:row>4</xdr:row>
      <xdr:rowOff>83820</xdr:rowOff>
    </xdr:from>
    <xdr:to>
      <xdr:col>7</xdr:col>
      <xdr:colOff>769620</xdr:colOff>
      <xdr:row>7</xdr:row>
      <xdr:rowOff>15240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204FC40-F5EC-93E0-155B-E6D9F67443EA}"/>
            </a:ext>
          </a:extLst>
        </xdr:cNvPr>
        <xdr:cNvSpPr/>
      </xdr:nvSpPr>
      <xdr:spPr>
        <a:xfrm>
          <a:off x="4114800" y="815340"/>
          <a:ext cx="2202180" cy="480060"/>
        </a:xfrm>
        <a:prstGeom prst="round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 b="1">
              <a:ln>
                <a:noFill/>
              </a:ln>
              <a:solidFill>
                <a:sysClr val="windowText" lastClr="000000"/>
              </a:solidFill>
            </a:rPr>
            <a:t>Margen</a:t>
          </a:r>
          <a:r>
            <a:rPr lang="es-AR" sz="1100">
              <a:ln>
                <a:noFill/>
              </a:ln>
              <a:solidFill>
                <a:sysClr val="windowText" lastClr="000000"/>
              </a:solidFill>
            </a:rPr>
            <a:t> </a:t>
          </a:r>
          <a:r>
            <a:rPr lang="es-AR" sz="1100" b="1">
              <a:ln>
                <a:noFill/>
              </a:ln>
              <a:solidFill>
                <a:sysClr val="windowText" lastClr="000000"/>
              </a:solidFill>
            </a:rPr>
            <a:t>de</a:t>
          </a:r>
          <a:r>
            <a:rPr lang="es-AR" sz="1100" baseline="0">
              <a:ln>
                <a:noFill/>
              </a:ln>
              <a:solidFill>
                <a:sysClr val="windowText" lastClr="000000"/>
              </a:solidFill>
            </a:rPr>
            <a:t> </a:t>
          </a:r>
          <a:r>
            <a:rPr lang="es-AR" sz="1100" b="1" baseline="0">
              <a:ln>
                <a:noFill/>
              </a:ln>
              <a:solidFill>
                <a:sysClr val="windowText" lastClr="000000"/>
              </a:solidFill>
            </a:rPr>
            <a:t>Ganancia</a:t>
          </a:r>
          <a:r>
            <a:rPr lang="es-AR" sz="1100" baseline="0">
              <a:ln>
                <a:noFill/>
              </a:ln>
              <a:solidFill>
                <a:sysClr val="windowText" lastClr="000000"/>
              </a:solidFill>
            </a:rPr>
            <a:t> </a:t>
          </a:r>
          <a:r>
            <a:rPr lang="es-AR" sz="1100" b="1" baseline="0">
              <a:ln>
                <a:noFill/>
              </a:ln>
              <a:solidFill>
                <a:sysClr val="windowText" lastClr="000000"/>
              </a:solidFill>
            </a:rPr>
            <a:t>(%)</a:t>
          </a:r>
          <a:endParaRPr lang="es-AR" sz="11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289560</xdr:colOff>
      <xdr:row>5</xdr:row>
      <xdr:rowOff>160020</xdr:rowOff>
    </xdr:from>
    <xdr:to>
      <xdr:col>11</xdr:col>
      <xdr:colOff>739140</xdr:colOff>
      <xdr:row>6</xdr:row>
      <xdr:rowOff>137160</xdr:rowOff>
    </xdr:to>
    <xdr:sp macro="" textlink="Análisis_Estadistico!$H$11">
      <xdr:nvSpPr>
        <xdr:cNvPr id="27" name="CuadroTexto 26">
          <a:extLst>
            <a:ext uri="{FF2B5EF4-FFF2-40B4-BE49-F238E27FC236}">
              <a16:creationId xmlns:a16="http://schemas.microsoft.com/office/drawing/2014/main" id="{3B1B6006-4382-41F4-BABB-FA01EA59DA36}"/>
            </a:ext>
          </a:extLst>
        </xdr:cNvPr>
        <xdr:cNvSpPr txBox="1"/>
      </xdr:nvSpPr>
      <xdr:spPr>
        <a:xfrm>
          <a:off x="7421880" y="1074420"/>
          <a:ext cx="2034540" cy="160020"/>
        </a:xfrm>
        <a:prstGeom prst="rect">
          <a:avLst/>
        </a:prstGeom>
        <a:solidFill>
          <a:schemeClr val="bg2"/>
        </a:solidFill>
        <a:ln w="9525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9CB039-961D-4338-B46F-25053291964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15%</a:t>
          </a:fld>
          <a:endParaRPr lang="en-US" sz="1100"/>
        </a:p>
      </xdr:txBody>
    </xdr:sp>
    <xdr:clientData/>
  </xdr:twoCellAnchor>
  <xdr:twoCellAnchor>
    <xdr:from>
      <xdr:col>5</xdr:col>
      <xdr:colOff>236220</xdr:colOff>
      <xdr:row>5</xdr:row>
      <xdr:rowOff>175260</xdr:rowOff>
    </xdr:from>
    <xdr:to>
      <xdr:col>7</xdr:col>
      <xdr:colOff>685800</xdr:colOff>
      <xdr:row>6</xdr:row>
      <xdr:rowOff>152400</xdr:rowOff>
    </xdr:to>
    <xdr:sp macro="" textlink="Análisis_Estadistico!$H$10">
      <xdr:nvSpPr>
        <xdr:cNvPr id="28" name="CuadroTexto 27">
          <a:extLst>
            <a:ext uri="{FF2B5EF4-FFF2-40B4-BE49-F238E27FC236}">
              <a16:creationId xmlns:a16="http://schemas.microsoft.com/office/drawing/2014/main" id="{8DFC3F15-F13D-447E-AFDB-A2BA564AAA7F}"/>
            </a:ext>
          </a:extLst>
        </xdr:cNvPr>
        <xdr:cNvSpPr txBox="1"/>
      </xdr:nvSpPr>
      <xdr:spPr>
        <a:xfrm>
          <a:off x="4198620" y="1089660"/>
          <a:ext cx="2034540" cy="160020"/>
        </a:xfrm>
        <a:prstGeom prst="rect">
          <a:avLst/>
        </a:prstGeom>
        <a:solidFill>
          <a:schemeClr val="bg2"/>
        </a:solidFill>
        <a:ln w="9525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8FA89E6-50B3-4591-8634-5D8808C3F96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40%</a:t>
          </a:fld>
          <a:endParaRPr lang="en-US" sz="1100"/>
        </a:p>
      </xdr:txBody>
    </xdr:sp>
    <xdr:clientData/>
  </xdr:twoCellAnchor>
  <xdr:twoCellAnchor>
    <xdr:from>
      <xdr:col>13</xdr:col>
      <xdr:colOff>175260</xdr:colOff>
      <xdr:row>6</xdr:row>
      <xdr:rowOff>0</xdr:rowOff>
    </xdr:from>
    <xdr:to>
      <xdr:col>15</xdr:col>
      <xdr:colOff>624840</xdr:colOff>
      <xdr:row>6</xdr:row>
      <xdr:rowOff>160020</xdr:rowOff>
    </xdr:to>
    <xdr:sp macro="" textlink="Análisis_Estadistico!H13">
      <xdr:nvSpPr>
        <xdr:cNvPr id="31" name="CuadroTexto 30">
          <a:extLst>
            <a:ext uri="{FF2B5EF4-FFF2-40B4-BE49-F238E27FC236}">
              <a16:creationId xmlns:a16="http://schemas.microsoft.com/office/drawing/2014/main" id="{1F31E22E-BCE6-4346-B248-ED6DAFB3351F}"/>
            </a:ext>
          </a:extLst>
        </xdr:cNvPr>
        <xdr:cNvSpPr txBox="1"/>
      </xdr:nvSpPr>
      <xdr:spPr>
        <a:xfrm>
          <a:off x="10477500" y="1097280"/>
          <a:ext cx="2034540" cy="160020"/>
        </a:xfrm>
        <a:prstGeom prst="rect">
          <a:avLst/>
        </a:prstGeom>
        <a:solidFill>
          <a:schemeClr val="bg2"/>
        </a:solidFill>
        <a:ln w="9525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AB8D4C4-572C-4ADA-818B-8EC6692DD513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10%</a:t>
          </a:fld>
          <a:endParaRPr lang="en-US" sz="1100" b="0"/>
        </a:p>
      </xdr:txBody>
    </xdr:sp>
    <xdr:clientData/>
  </xdr:twoCellAnchor>
  <xdr:twoCellAnchor>
    <xdr:from>
      <xdr:col>1</xdr:col>
      <xdr:colOff>624840</xdr:colOff>
      <xdr:row>9</xdr:row>
      <xdr:rowOff>83820</xdr:rowOff>
    </xdr:from>
    <xdr:to>
      <xdr:col>7</xdr:col>
      <xdr:colOff>441960</xdr:colOff>
      <xdr:row>25</xdr:row>
      <xdr:rowOff>22860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4E4C2573-8CCB-46ED-9D51-D062D36D1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701040</xdr:colOff>
      <xdr:row>9</xdr:row>
      <xdr:rowOff>110490</xdr:rowOff>
    </xdr:from>
    <xdr:to>
      <xdr:col>14</xdr:col>
      <xdr:colOff>518160</xdr:colOff>
      <xdr:row>24</xdr:row>
      <xdr:rowOff>129540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3" name="Gráfico 2">
              <a:extLst>
                <a:ext uri="{FF2B5EF4-FFF2-40B4-BE49-F238E27FC236}">
                  <a16:creationId xmlns:a16="http://schemas.microsoft.com/office/drawing/2014/main" id="{A0ECA2D3-E637-CFD7-7658-96721CB568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40880" y="1756410"/>
              <a:ext cx="4572000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777240</xdr:colOff>
      <xdr:row>25</xdr:row>
      <xdr:rowOff>167640</xdr:rowOff>
    </xdr:from>
    <xdr:to>
      <xdr:col>9</xdr:col>
      <xdr:colOff>228600</xdr:colOff>
      <xdr:row>40</xdr:row>
      <xdr:rowOff>5715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Ciudad">
              <a:extLst>
                <a:ext uri="{FF2B5EF4-FFF2-40B4-BE49-F238E27FC236}">
                  <a16:creationId xmlns:a16="http://schemas.microsoft.com/office/drawing/2014/main" id="{EDACEB03-9E00-D92E-55D2-E430D1196A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2120" y="473964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655320</xdr:colOff>
      <xdr:row>25</xdr:row>
      <xdr:rowOff>167640</xdr:rowOff>
    </xdr:from>
    <xdr:to>
      <xdr:col>13</xdr:col>
      <xdr:colOff>106680</xdr:colOff>
      <xdr:row>40</xdr:row>
      <xdr:rowOff>5715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Nombre_Cliente">
              <a:extLst>
                <a:ext uri="{FF2B5EF4-FFF2-40B4-BE49-F238E27FC236}">
                  <a16:creationId xmlns:a16="http://schemas.microsoft.com/office/drawing/2014/main" id="{F2C54D87-D493-6287-DE83-86688239C3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0120" y="473964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502920</xdr:colOff>
      <xdr:row>25</xdr:row>
      <xdr:rowOff>175260</xdr:rowOff>
    </xdr:from>
    <xdr:to>
      <xdr:col>5</xdr:col>
      <xdr:colOff>746760</xdr:colOff>
      <xdr:row>40</xdr:row>
      <xdr:rowOff>13335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Fecha">
              <a:extLst>
                <a:ext uri="{FF2B5EF4-FFF2-40B4-BE49-F238E27FC236}">
                  <a16:creationId xmlns:a16="http://schemas.microsoft.com/office/drawing/2014/main" id="{5BBBC695-424F-48D0-8B7E-7E7577AA9F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80360" y="47472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525780</xdr:colOff>
      <xdr:row>42</xdr:row>
      <xdr:rowOff>160020</xdr:rowOff>
    </xdr:from>
    <xdr:to>
      <xdr:col>12</xdr:col>
      <xdr:colOff>198120</xdr:colOff>
      <xdr:row>55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C8F4B5D-802D-0E7B-7025-B15F52152870}"/>
            </a:ext>
          </a:extLst>
        </xdr:cNvPr>
        <xdr:cNvSpPr txBox="1"/>
      </xdr:nvSpPr>
      <xdr:spPr>
        <a:xfrm>
          <a:off x="525780" y="7840980"/>
          <a:ext cx="9182100" cy="2217420"/>
        </a:xfrm>
        <a:prstGeom prst="rect">
          <a:avLst/>
        </a:prstGeom>
        <a:solidFill>
          <a:schemeClr val="bg2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CONCLUSIONES Y ANÁLISIS EJECUTIVO</a:t>
          </a:r>
          <a:endParaRPr lang="es-A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s-A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A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s-A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Concentración Regional Dominante:</a:t>
          </a:r>
          <a:r>
            <a:rPr lang="es-A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región de Buenos Aires registra la mayor concentración del volumen comercial, representando el núcleo de los ingresos del negocio y el principal driver de margen operativo. </a:t>
          </a:r>
        </a:p>
        <a:p>
          <a:pPr lvl="0"/>
          <a:endParaRPr lang="es-A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A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Comportamiento del Margen y Desviación:</a:t>
          </a:r>
          <a:r>
            <a:rPr lang="es-A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análisis de dispersión sobre el promedio de venta muestra variaciones moderadas entre segmentos de clientes, permitiendo estabilidad en la proyección financiera general. </a:t>
          </a:r>
        </a:p>
        <a:p>
          <a:pPr lvl="0"/>
          <a:endParaRPr lang="es-AR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A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Oportunidad de Crecimiento:</a:t>
          </a:r>
          <a:r>
            <a:rPr lang="es-A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Existe potencial de expansión y diversificación en plazas secundarias para reducir la dependencia geográfica y balancear el cumplimiento de metas.</a:t>
          </a:r>
        </a:p>
        <a:p>
          <a:endParaRPr lang="es-A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0.02833</cdr:x>
      <cdr:y>0.06649</cdr:y>
    </cdr:from>
    <cdr:to>
      <cdr:x>0.97333</cdr:x>
      <cdr:y>0.15691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A8FEF94-7F49-131D-0410-99144C49FFC1}"/>
            </a:ext>
          </a:extLst>
        </cdr:cNvPr>
        <cdr:cNvSpPr txBox="1"/>
      </cdr:nvSpPr>
      <cdr:spPr>
        <a:xfrm xmlns:a="http://schemas.openxmlformats.org/drawingml/2006/main">
          <a:off x="129540" y="190500"/>
          <a:ext cx="432054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/>
              </a:solidFill>
            </a:rPr>
            <a:t>Rendimiento de Ventas y Margen Operativo por Segmento de Cliente</a:t>
          </a:r>
        </a:p>
        <a:p xmlns:a="http://schemas.openxmlformats.org/drawingml/2006/main">
          <a:endParaRPr lang="es-AR" sz="1100" kern="1200"/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colás Bonadies" refreshedDate="46294.798567939812" backgroundQuery="1" createdVersion="8" refreshedVersion="8" minRefreshableVersion="3" recordCount="0" supportSubquery="1" supportAdvancedDrill="1" xr:uid="{0EC15D48-E2CA-40EF-A1A0-55E082A87A55}">
  <cacheSource type="external" connectionId="3"/>
  <cacheFields count="7">
    <cacheField name="[Measures].[Total Ventas]" caption="Total Ventas" numFmtId="0" hierarchy="18" level="32767"/>
    <cacheField name="[Measures].[Total Costos]" caption="Total Costos" numFmtId="0" hierarchy="19" level="32767"/>
    <cacheField name="[Measures].[Margen Operativo]" caption="Margen Operativo" numFmtId="0" hierarchy="20" level="32767"/>
    <cacheField name="[Measures].[Promedio Venta]" caption="Promedio Venta" numFmtId="0" hierarchy="21" level="32767"/>
    <cacheField name="[Measures].[Desviacion Estandar]" caption="Desviacion Estandar" numFmtId="0" hierarchy="22" level="32767"/>
    <cacheField name="[DimClientes].[Nombre_Cliente].[Nombre_Cliente]" caption="Nombre_Cliente" numFmtId="0" hierarchy="1" level="1">
      <sharedItems containsSemiMixedTypes="0" containsNonDate="0" containsString="0"/>
    </cacheField>
    <cacheField name="[Ventas_Historico].[Fecha].[Fecha]" caption="Fecha" numFmtId="0" hierarchy="9" level="1">
      <sharedItems containsSemiMixedTypes="0" containsNonDate="0" containsString="0"/>
    </cacheField>
  </cacheFields>
  <cacheHierarchies count="27">
    <cacheHierarchy uniqueName="[DimClientes].[ID_Cliente]" caption="ID_Cliente" attribute="1" defaultMemberUniqueName="[DimClientes].[ID_Cliente].[All]" allUniqueName="[DimClientes].[ID_Cliente].[All]" dimensionUniqueName="[DimClientes]" displayFolder="" count="0" memberValueDatatype="130" unbalanced="0"/>
    <cacheHierarchy uniqueName="[DimClientes].[Nombre_Cliente]" caption="Nombre_Cliente" attribute="1" defaultMemberUniqueName="[DimClientes].[Nombre_Cliente].[All]" allUniqueName="[DimClientes].[Nombre_Cliente].[All]" dimensionUniqueName="[DimClientes]" displayFolder="" count="2" memberValueDatatype="130" unbalanced="0">
      <fieldsUsage count="2">
        <fieldUsage x="-1"/>
        <fieldUsage x="5"/>
      </fieldsUsage>
    </cacheHierarchy>
    <cacheHierarchy uniqueName="[DimClientes].[Ciudad]" caption="Ciudad" attribute="1" defaultMemberUniqueName="[DimClientes].[Ciudad].[All]" allUniqueName="[DimClientes].[Ciudad].[All]" dimensionUniqueName="[DimClientes]" displayFolder="" count="2" memberValueDatatype="130" unbalanced="0"/>
    <cacheHierarchy uniqueName="[DimClientes 1].[ID_Cliente]" caption="ID_Cliente" attribute="1" defaultMemberUniqueName="[DimClientes 1].[ID_Cliente].[All]" allUniqueName="[DimClientes 1].[ID_Cliente].[All]" dimensionUniqueName="[DimClientes 1]" displayFolder="" count="0" memberValueDatatype="130" unbalanced="0"/>
    <cacheHierarchy uniqueName="[DimClientes 1].[Nombre_Cliente]" caption="Nombre_Cliente" attribute="1" defaultMemberUniqueName="[DimClientes 1].[Nombre_Cliente].[All]" allUniqueName="[DimClientes 1].[Nombre_Cliente].[All]" dimensionUniqueName="[DimClientes 1]" displayFolder="" count="0" memberValueDatatype="130" unbalanced="0"/>
    <cacheHierarchy uniqueName="[DimClientes 1].[Ciudad]" caption="Ciudad" attribute="1" defaultMemberUniqueName="[DimClientes 1].[Ciudad].[All]" allUniqueName="[DimClientes 1].[Ciudad].[All]" dimensionUniqueName="[DimClientes 1]" displayFolder="" count="0" memberValueDatatype="130" unbalanced="0"/>
    <cacheHierarchy uniqueName="[DimClientes 1].[País]" caption="País" attribute="1" defaultMemberUniqueName="[DimClientes 1].[País].[All]" allUniqueName="[DimClientes 1].[País].[All]" dimensionUniqueName="[DimClientes 1]" displayFolder="" count="0" memberValueDatatype="130" unbalanced="0"/>
    <cacheHierarchy uniqueName="[DimClientes 1].[Ventas]" caption="Ventas" attribute="1" defaultMemberUniqueName="[DimClientes 1].[Ventas].[All]" allUniqueName="[DimClientes 1].[Ventas].[All]" dimensionUniqueName="[DimClientes 1]" displayFolder="" count="0" memberValueDatatype="20" unbalanced="0"/>
    <cacheHierarchy uniqueName="[Ventas_Historico].[ID_Transaccion]" caption="ID_Transaccion" attribute="1" defaultMemberUniqueName="[Ventas_Historico].[ID_Transaccion].[All]" allUniqueName="[Ventas_Historico].[ID_Transaccion].[All]" dimensionUniqueName="[Ventas_Historico]" displayFolder="" count="0" memberValueDatatype="20" unbalanced="0"/>
    <cacheHierarchy uniqueName="[Ventas_Historico].[Fecha]" caption="Fecha" attribute="1" time="1" defaultMemberUniqueName="[Ventas_Historico].[Fecha].[All]" allUniqueName="[Ventas_Historico].[Fecha].[All]" dimensionUniqueName="[Ventas_Historico]" displayFolder="" count="2" memberValueDatatype="7" unbalanced="0">
      <fieldsUsage count="2">
        <fieldUsage x="-1"/>
        <fieldUsage x="6"/>
      </fieldsUsage>
    </cacheHierarchy>
    <cacheHierarchy uniqueName="[Ventas_Historico].[ID_Cliente]" caption="ID_Cliente" attribute="1" defaultMemberUniqueName="[Ventas_Historico].[ID_Cliente].[All]" allUniqueName="[Ventas_Historico].[ID_Cliente].[All]" dimensionUniqueName="[Ventas_Historico]" displayFolder="" count="0" memberValueDatatype="130" unbalanced="0"/>
    <cacheHierarchy uniqueName="[Ventas_Historico].[ID_Producto]" caption="ID_Producto" attribute="1" defaultMemberUniqueName="[Ventas_Historico].[ID_Producto].[All]" allUniqueName="[Ventas_Historico].[ID_Producto].[All]" dimensionUniqueName="[Ventas_Historico]" displayFolder="" count="0" memberValueDatatype="130" unbalanced="0"/>
    <cacheHierarchy uniqueName="[Ventas_Historico].[Cantidad]" caption="Cantidad" attribute="1" defaultMemberUniqueName="[Ventas_Historico].[Cantidad].[All]" allUniqueName="[Ventas_Historico].[Cantidad].[All]" dimensionUniqueName="[Ventas_Historico]" displayFolder="" count="0" memberValueDatatype="20" unbalanced="0"/>
    <cacheHierarchy uniqueName="[Ventas_Historico].[PrecioUnitario]" caption="PrecioUnitario" attribute="1" defaultMemberUniqueName="[Ventas_Historico].[PrecioUnitario].[All]" allUniqueName="[Ventas_Historico].[PrecioUnitario].[All]" dimensionUniqueName="[Ventas_Historico]" displayFolder="" count="0" memberValueDatatype="6" unbalanced="0"/>
    <cacheHierarchy uniqueName="[Ventas_Historico].[MontoTotal]" caption="MontoTotal" attribute="1" defaultMemberUniqueName="[Ventas_Historico].[MontoTotal].[All]" allUniqueName="[Ventas_Historico].[MontoTotal].[All]" dimensionUniqueName="[Ventas_Historico]" displayFolder="" count="0" memberValueDatatype="6" unbalanced="0"/>
    <cacheHierarchy uniqueName="[Ventas_Historico].[CostoTotal]" caption="CostoTotal" attribute="1" defaultMemberUniqueName="[Ventas_Historico].[CostoTotal].[All]" allUniqueName="[Ventas_Historico].[CostoTotal].[All]" dimensionUniqueName="[Ventas_Historico]" displayFolder="" count="0" memberValueDatatype="6" unbalanced="0"/>
    <cacheHierarchy uniqueName="[Measures].[Suma de MontoTotal]" caption="Suma de MontoTotal" measure="1" displayFolder="" measureGroup="Ventas_Historic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MontoTotal]" caption="Promedio de MontoTotal" measure="1" displayFolder="" measureGroup="Ventas_Historic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Total Ventas]" caption="Total Ventas" measure="1" displayFolder="" measureGroup="Ventas_Historico" count="0" oneField="1">
      <fieldsUsage count="1">
        <fieldUsage x="0"/>
      </fieldsUsage>
    </cacheHierarchy>
    <cacheHierarchy uniqueName="[Measures].[Total Costos]" caption="Total Costos" measure="1" displayFolder="" measureGroup="Ventas_Historico" count="0" oneField="1">
      <fieldsUsage count="1">
        <fieldUsage x="1"/>
      </fieldsUsage>
    </cacheHierarchy>
    <cacheHierarchy uniqueName="[Measures].[Margen Operativo]" caption="Margen Operativo" measure="1" displayFolder="" measureGroup="Ventas_Historico" count="0" oneField="1">
      <fieldsUsage count="1">
        <fieldUsage x="2"/>
      </fieldsUsage>
    </cacheHierarchy>
    <cacheHierarchy uniqueName="[Measures].[Promedio Venta]" caption="Promedio Venta" measure="1" displayFolder="" measureGroup="Ventas_Historico" count="0" oneField="1">
      <fieldsUsage count="1">
        <fieldUsage x="3"/>
      </fieldsUsage>
    </cacheHierarchy>
    <cacheHierarchy uniqueName="[Measures].[Desviacion Estandar]" caption="Desviacion Estandar" measure="1" displayFolder="" measureGroup="Ventas_Historico" count="0" oneField="1">
      <fieldsUsage count="1">
        <fieldUsage x="4"/>
      </fieldsUsage>
    </cacheHierarchy>
    <cacheHierarchy uniqueName="[Measures].[__XL_Count Ventas_Historico]" caption="__XL_Count Ventas_Historico" measure="1" displayFolder="" measureGroup="Ventas_Historico" count="0" hidden="1"/>
    <cacheHierarchy uniqueName="[Measures].[__XL_Count DimClientes]" caption="__XL_Count DimClientes" measure="1" displayFolder="" measureGroup="DimClientes" count="0" hidden="1"/>
    <cacheHierarchy uniqueName="[Measures].[__XL_Count DimClientes 1]" caption="__XL_Count DimClientes 1" measure="1" displayFolder="" measureGroup="DimClientes 1" count="0" hidden="1"/>
    <cacheHierarchy uniqueName="[Measures].[__No measures defined]" caption="__No measures defined" measure="1" displayFolder="" count="0" hidden="1"/>
  </cacheHierarchies>
  <kpis count="0"/>
  <dimensions count="4">
    <dimension name="DimClientes" uniqueName="[DimClientes]" caption="DimClientes"/>
    <dimension name="DimClientes 1" uniqueName="[DimClientes 1]" caption="DimClientes 1"/>
    <dimension measure="1" name="Measures" uniqueName="[Measures]" caption="Measures"/>
    <dimension name="Ventas_Historico" uniqueName="[Ventas_Historico]" caption="Ventas_Historico"/>
  </dimensions>
  <measureGroups count="3">
    <measureGroup name="DimClientes" caption="DimClientes"/>
    <measureGroup name="DimClientes 1" caption="DimClientes 1"/>
    <measureGroup name="Ventas_Historico" caption="Ventas_Historico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colás Bonadies" refreshedDate="46294.749923263887" backgroundQuery="1" createdVersion="3" refreshedVersion="8" minRefreshableVersion="3" recordCount="0" supportSubquery="1" supportAdvancedDrill="1" xr:uid="{C6CD9951-16E9-4F52-A776-1ED7319F6789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imClientes].[ID_Cliente]" caption="ID_Cliente" attribute="1" defaultMemberUniqueName="[DimClientes].[ID_Cliente].[All]" allUniqueName="[DimClientes].[ID_Cliente].[All]" dimensionUniqueName="[DimClientes]" displayFolder="" count="0" memberValueDatatype="130" unbalanced="0"/>
    <cacheHierarchy uniqueName="[DimClientes].[Nombre_Cliente]" caption="Nombre_Cliente" attribute="1" defaultMemberUniqueName="[DimClientes].[Nombre_Cliente].[All]" allUniqueName="[DimClientes].[Nombre_Cliente].[All]" dimensionUniqueName="[DimClientes]" displayFolder="" count="2" memberValueDatatype="130" unbalanced="0"/>
    <cacheHierarchy uniqueName="[DimClientes].[Ciudad]" caption="Ciudad" attribute="1" defaultMemberUniqueName="[DimClientes].[Ciudad].[All]" allUniqueName="[DimClientes].[Ciudad].[All]" dimensionUniqueName="[DimClientes]" displayFolder="" count="2" memberValueDatatype="130" unbalanced="0"/>
    <cacheHierarchy uniqueName="[DimClientes 1].[ID_Cliente]" caption="ID_Cliente" attribute="1" defaultMemberUniqueName="[DimClientes 1].[ID_Cliente].[All]" allUniqueName="[DimClientes 1].[ID_Cliente].[All]" dimensionUniqueName="[DimClientes 1]" displayFolder="" count="0" memberValueDatatype="130" unbalanced="0"/>
    <cacheHierarchy uniqueName="[DimClientes 1].[Nombre_Cliente]" caption="Nombre_Cliente" attribute="1" defaultMemberUniqueName="[DimClientes 1].[Nombre_Cliente].[All]" allUniqueName="[DimClientes 1].[Nombre_Cliente].[All]" dimensionUniqueName="[DimClientes 1]" displayFolder="" count="0" memberValueDatatype="130" unbalanced="0"/>
    <cacheHierarchy uniqueName="[DimClientes 1].[Ciudad]" caption="Ciudad" attribute="1" defaultMemberUniqueName="[DimClientes 1].[Ciudad].[All]" allUniqueName="[DimClientes 1].[Ciudad].[All]" dimensionUniqueName="[DimClientes 1]" displayFolder="" count="0" memberValueDatatype="130" unbalanced="0"/>
    <cacheHierarchy uniqueName="[DimClientes 1].[País]" caption="País" attribute="1" defaultMemberUniqueName="[DimClientes 1].[País].[All]" allUniqueName="[DimClientes 1].[País].[All]" dimensionUniqueName="[DimClientes 1]" displayFolder="" count="0" memberValueDatatype="130" unbalanced="0"/>
    <cacheHierarchy uniqueName="[DimClientes 1].[Ventas]" caption="Ventas" attribute="1" defaultMemberUniqueName="[DimClientes 1].[Ventas].[All]" allUniqueName="[DimClientes 1].[Ventas].[All]" dimensionUniqueName="[DimClientes 1]" displayFolder="" count="0" memberValueDatatype="20" unbalanced="0"/>
    <cacheHierarchy uniqueName="[Ventas_Historico].[ID_Transaccion]" caption="ID_Transaccion" attribute="1" defaultMemberUniqueName="[Ventas_Historico].[ID_Transaccion].[All]" allUniqueName="[Ventas_Historico].[ID_Transaccion].[All]" dimensionUniqueName="[Ventas_Historico]" displayFolder="" count="0" memberValueDatatype="20" unbalanced="0"/>
    <cacheHierarchy uniqueName="[Ventas_Historico].[Fecha]" caption="Fecha" attribute="1" time="1" defaultMemberUniqueName="[Ventas_Historico].[Fecha].[All]" allUniqueName="[Ventas_Historico].[Fecha].[All]" dimensionUniqueName="[Ventas_Historico]" displayFolder="" count="2" memberValueDatatype="7" unbalanced="0"/>
    <cacheHierarchy uniqueName="[Ventas_Historico].[ID_Cliente]" caption="ID_Cliente" attribute="1" defaultMemberUniqueName="[Ventas_Historico].[ID_Cliente].[All]" allUniqueName="[Ventas_Historico].[ID_Cliente].[All]" dimensionUniqueName="[Ventas_Historico]" displayFolder="" count="0" memberValueDatatype="130" unbalanced="0"/>
    <cacheHierarchy uniqueName="[Ventas_Historico].[ID_Producto]" caption="ID_Producto" attribute="1" defaultMemberUniqueName="[Ventas_Historico].[ID_Producto].[All]" allUniqueName="[Ventas_Historico].[ID_Producto].[All]" dimensionUniqueName="[Ventas_Historico]" displayFolder="" count="0" memberValueDatatype="130" unbalanced="0"/>
    <cacheHierarchy uniqueName="[Ventas_Historico].[Cantidad]" caption="Cantidad" attribute="1" defaultMemberUniqueName="[Ventas_Historico].[Cantidad].[All]" allUniqueName="[Ventas_Historico].[Cantidad].[All]" dimensionUniqueName="[Ventas_Historico]" displayFolder="" count="0" memberValueDatatype="20" unbalanced="0"/>
    <cacheHierarchy uniqueName="[Ventas_Historico].[PrecioUnitario]" caption="PrecioUnitario" attribute="1" defaultMemberUniqueName="[Ventas_Historico].[PrecioUnitario].[All]" allUniqueName="[Ventas_Historico].[PrecioUnitario].[All]" dimensionUniqueName="[Ventas_Historico]" displayFolder="" count="0" memberValueDatatype="6" unbalanced="0"/>
    <cacheHierarchy uniqueName="[Ventas_Historico].[MontoTotal]" caption="MontoTotal" attribute="1" defaultMemberUniqueName="[Ventas_Historico].[MontoTotal].[All]" allUniqueName="[Ventas_Historico].[MontoTotal].[All]" dimensionUniqueName="[Ventas_Historico]" displayFolder="" count="0" memberValueDatatype="6" unbalanced="0"/>
    <cacheHierarchy uniqueName="[Ventas_Historico].[CostoTotal]" caption="CostoTotal" attribute="1" defaultMemberUniqueName="[Ventas_Historico].[CostoTotal].[All]" allUniqueName="[Ventas_Historico].[CostoTotal].[All]" dimensionUniqueName="[Ventas_Historico]" displayFolder="" count="0" memberValueDatatype="6" unbalanced="0"/>
    <cacheHierarchy uniqueName="[Measures].[Suma de MontoTotal]" caption="Suma de MontoTotal" measure="1" displayFolder="" measureGroup="Ventas_Historic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MontoTotal]" caption="Promedio de MontoTotal" measure="1" displayFolder="" measureGroup="Ventas_Historic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Total Ventas]" caption="Total Ventas" measure="1" displayFolder="" measureGroup="Ventas_Historico" count="0"/>
    <cacheHierarchy uniqueName="[Measures].[Total Costos]" caption="Total Costos" measure="1" displayFolder="" measureGroup="Ventas_Historico" count="0"/>
    <cacheHierarchy uniqueName="[Measures].[Margen Operativo]" caption="Margen Operativo" measure="1" displayFolder="" measureGroup="Ventas_Historico" count="0"/>
    <cacheHierarchy uniqueName="[Measures].[Promedio Venta]" caption="Promedio Venta" measure="1" displayFolder="" measureGroup="Ventas_Historico" count="0"/>
    <cacheHierarchy uniqueName="[Measures].[Desviacion Estandar]" caption="Desviacion Estandar" measure="1" displayFolder="" measureGroup="Ventas_Historico" count="0"/>
    <cacheHierarchy uniqueName="[Measures].[__XL_Count Ventas_Historico]" caption="__XL_Count Ventas_Historico" measure="1" displayFolder="" measureGroup="Ventas_Historico" count="0" hidden="1"/>
    <cacheHierarchy uniqueName="[Measures].[__XL_Count DimClientes]" caption="__XL_Count DimClientes" measure="1" displayFolder="" measureGroup="DimClientes" count="0" hidden="1"/>
    <cacheHierarchy uniqueName="[Measures].[__XL_Count DimClientes 1]" caption="__XL_Count DimClientes 1" measure="1" displayFolder="" measureGroup="DimClientes 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3349168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C803A-76C2-4FF5-B996-A7D4EB6581A4}" name="TablaDinámica1" cacheId="195" applyNumberFormats="0" applyBorderFormats="0" applyFontFormats="0" applyPatternFormats="0" applyAlignmentFormats="0" applyWidthHeightFormats="1" dataCaption="Valores" tag="d193bbb4-59e1-4713-bf12-041f6949285d" updatedVersion="8" minRefreshableVersion="3" useAutoFormatting="1" itemPrintTitles="1" createdVersion="8" indent="0" outline="1" outlineData="1" multipleFieldFilters="0" chartFormat="11">
  <location ref="A3:E4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 numFmtId="44"/>
    <dataField fld="1" subtotal="count" baseField="0" baseItem="0"/>
    <dataField fld="2" subtotal="count" baseField="0" baseItem="0"/>
    <dataField fld="3" subtotal="count" baseField="0" baseItem="0" numFmtId="44"/>
    <dataField fld="4" subtotal="count" baseField="0" baseItem="0"/>
  </dataFields>
  <formats count="2"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5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27">
    <pivotHierarchy dragToData="1"/>
    <pivotHierarchy multipleItemSelectionAllowed="1" dragToData="1">
      <members count="1" level="1">
        <member name="[DimClientes].[Nombre_Cliente].&amp;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tas_Historico].[Fecha].&amp;[2024-01-15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lientes]"/>
        <x15:activeTabTopLevelEntity name="[Ventas_Histori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258F937B-0349-48A6-B59E-EAFECD5F3533}" sourceName="[DimClientes].[Ciudad]">
  <data>
    <olap pivotCacheId="1933491687">
      <levels count="2">
        <level uniqueName="[DimClientes].[Ciudad].[(All)]" sourceCaption="(All)" count="0"/>
        <level uniqueName="[DimClientes].[Ciudad].[Ciudad]" sourceCaption="Ciudad" count="6">
          <ranges>
            <range startItem="0">
              <i n="[DimClientes].[Ciudad].&amp;[Buenos Aires]" c="Buenos Aires"/>
              <i n="[DimClientes].[Ciudad].&amp;[Córdoba]" c="Córdoba"/>
              <i n="[DimClientes].[Ciudad].&amp;[Mendoza]" c="Mendoza"/>
              <i n="[DimClientes].[Ciudad].&amp;[Rosario]" c="Rosario"/>
              <i n="[DimClientes].[Ciudad].&amp;[Salta]" c="Salta"/>
              <i n="[DimClientes].[Ciudad].&amp;" c="(en blanco)"/>
            </range>
          </ranges>
        </level>
      </levels>
      <selections count="1">
        <selection n="[DimClientes].[Ciudad].&amp;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liente" xr10:uid="{D008F668-AB1A-4F5E-8DEE-5828F6515453}" sourceName="[DimClientes].[Nombre_Cliente]">
  <pivotTables>
    <pivotTable tabId="3" name="TablaDinámica1"/>
  </pivotTables>
  <data>
    <olap pivotCacheId="1933491687">
      <levels count="2">
        <level uniqueName="[DimClientes].[Nombre_Cliente].[(All)]" sourceCaption="(All)" count="0"/>
        <level uniqueName="[DimClientes].[Nombre_Cliente].[Nombre_Cliente]" sourceCaption="Nombre_Cliente" count="6">
          <ranges>
            <range startItem="0">
              <i n="[DimClientes].[Nombre_Cliente].&amp;" c="(en blanco)"/>
              <i n="[DimClientes].[Nombre_Cliente].&amp;[Ana Gómez]" c="Ana Gómez" nd="1"/>
              <i n="[DimClientes].[Nombre_Cliente].&amp;[Carlos López]" c="Carlos López" nd="1"/>
              <i n="[DimClientes].[Nombre_Cliente].&amp;[Juan Pérez]" c="Juan Pérez" nd="1"/>
              <i n="[DimClientes].[Nombre_Cliente].&amp;[Lucía Fernández]" c="Lucía Fernández" nd="1"/>
              <i n="[DimClientes].[Nombre_Cliente].&amp;[María Rodríguez]" c="María Rodríguez" nd="1"/>
            </range>
          </ranges>
        </level>
      </levels>
      <selections count="1">
        <selection n="[DimClientes].[Nombre_Cliente].&amp;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FF41279D-1570-4903-8F61-F6511205C475}" sourceName="[Ventas_Historico].[Fecha]">
  <pivotTables>
    <pivotTable tabId="3" name="TablaDinámica1"/>
  </pivotTables>
  <data>
    <olap pivotCacheId="1933491687">
      <levels count="2">
        <level uniqueName="[Ventas_Historico].[Fecha].[(All)]" sourceCaption="(All)" count="0"/>
        <level uniqueName="[Ventas_Historico].[Fecha].[Fecha]" sourceCaption="Fecha" count="10">
          <ranges>
            <range startItem="0">
              <i n="[Ventas_Historico].[Fecha].&amp;[2024-01-15T00:00:00]" c="15/1/2024"/>
              <i n="[Ventas_Historico].[Fecha].&amp;[2024-01-16T00:00:00]" c="16/1/2024"/>
              <i n="[Ventas_Historico].[Fecha].&amp;[2024-01-17T00:00:00]" c="17/1/2024"/>
              <i n="[Ventas_Historico].[Fecha].&amp;[2024-01-18T00:00:00]" c="18/1/2024"/>
              <i n="[Ventas_Historico].[Fecha].&amp;[2024-01-19T00:00:00]" c="19/1/2024"/>
              <i n="[Ventas_Historico].[Fecha].&amp;[2024-01-20T00:00:00]" c="20/1/2024"/>
              <i n="[Ventas_Historico].[Fecha].&amp;[2024-01-21T00:00:00]" c="21/1/2024"/>
              <i n="[Ventas_Historico].[Fecha].&amp;[2024-01-22T00:00:00]" c="22/1/2024"/>
              <i n="[Ventas_Historico].[Fecha].&amp;[2024-01-23T00:00:00]" c="23/1/2024"/>
              <i n="[Ventas_Historico].[Fecha].&amp;[2024-01-24T00:00:00]" c="24/1/2024"/>
            </range>
          </ranges>
        </level>
      </levels>
      <selections count="1">
        <selection n="[Ventas_Historico].[Fecha].&amp;[2024-01-15T00:00:00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B1A34E6F-AF8C-46C0-9394-4EEDB21E710E}" cache="SegmentaciónDeDatos_Ciudad" caption="Ciudad" level="1" rowHeight="247650"/>
  <slicer name="Nombre_Cliente" xr10:uid="{35C7BF49-EFC0-4874-83A9-88D4C12FBB51}" cache="SegmentaciónDeDatos_Nombre_Cliente" caption="Nombre_Cliente" level="1" rowHeight="247650"/>
  <slicer name="Fecha" xr10:uid="{7E55B956-21DF-4285-9D36-DEF11F45ABA4}" cache="SegmentaciónDeDatos_Fecha" caption="Fecha" level="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CBE37-667B-4271-9E1A-FD33630D4947}" name="DimClientes" displayName="DimClientes" ref="A1:E6" totalsRowShown="0" headerRowDxfId="25">
  <autoFilter ref="A1:E6" xr:uid="{66FCBE37-667B-4271-9E1A-FD33630D4947}"/>
  <tableColumns count="5">
    <tableColumn id="1" xr3:uid="{D33765DF-4362-4AE8-B01F-6E2BA518DAEE}" name="ID_Cliente"/>
    <tableColumn id="2" xr3:uid="{C8F69E5B-EAB2-4216-9654-6F01187C23DF}" name="Nombre_Cliente"/>
    <tableColumn id="3" xr3:uid="{868FD4C3-ED98-48C1-A332-EDE8012659A4}" name="Ciudad"/>
    <tableColumn id="4" xr3:uid="{27BF842A-CB85-4D46-A5AB-A8FE170C8983}" name="País" dataCellStyle="Moneda"/>
    <tableColumn id="5" xr3:uid="{D9060780-54F4-44FA-87EA-E779A15D14BD}" name="Ventas" dataDxfId="24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26E8-D2A4-44D3-AA4F-A82D1210E08B}">
  <sheetPr codeName="Hoja4">
    <tabColor theme="1"/>
  </sheetPr>
  <dimension ref="B5:B7"/>
  <sheetViews>
    <sheetView showGridLines="0" tabSelected="1" workbookViewId="0">
      <selection activeCell="Q18" sqref="Q18"/>
    </sheetView>
  </sheetViews>
  <sheetFormatPr baseColWidth="10" defaultRowHeight="14.4" x14ac:dyDescent="0.3"/>
  <cols>
    <col min="1" max="16384" width="11.5546875" style="19"/>
  </cols>
  <sheetData>
    <row r="5" spans="2:2" x14ac:dyDescent="0.3">
      <c r="B5" s="18"/>
    </row>
    <row r="7" spans="2:2" x14ac:dyDescent="0.3">
      <c r="B7" s="20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78A-54CB-477D-AB7B-E5918BFC0DCC}">
  <sheetPr codeName="Hoja1">
    <outlinePr summaryBelow="0"/>
  </sheetPr>
  <dimension ref="B1:G11"/>
  <sheetViews>
    <sheetView showGridLines="0" workbookViewId="0"/>
  </sheetViews>
  <sheetFormatPr baseColWidth="10" defaultRowHeight="14.4" outlineLevelRow="1" outlineLevelCol="1" x14ac:dyDescent="0.3"/>
  <cols>
    <col min="3" max="3" width="16.44140625" bestFit="1" customWidth="1"/>
    <col min="4" max="7" width="13.5546875" bestFit="1" customWidth="1" outlineLevel="1"/>
  </cols>
  <sheetData>
    <row r="1" spans="2:7" ht="15" thickBot="1" x14ac:dyDescent="0.35"/>
    <row r="2" spans="2:7" ht="15.6" x14ac:dyDescent="0.3">
      <c r="B2" s="6" t="s">
        <v>27</v>
      </c>
      <c r="C2" s="6"/>
      <c r="D2" s="11"/>
      <c r="E2" s="11"/>
      <c r="F2" s="11"/>
      <c r="G2" s="11"/>
    </row>
    <row r="3" spans="2:7" ht="15.6" collapsed="1" x14ac:dyDescent="0.3">
      <c r="B3" s="5"/>
      <c r="C3" s="5"/>
      <c r="D3" s="12" t="s">
        <v>29</v>
      </c>
      <c r="E3" s="12" t="s">
        <v>23</v>
      </c>
      <c r="F3" s="12" t="s">
        <v>25</v>
      </c>
      <c r="G3" s="12" t="s">
        <v>26</v>
      </c>
    </row>
    <row r="4" spans="2:7" ht="32.4" hidden="1" outlineLevel="1" x14ac:dyDescent="0.3">
      <c r="B4" s="8"/>
      <c r="C4" s="8"/>
      <c r="E4" s="13" t="s">
        <v>24</v>
      </c>
      <c r="F4" s="13" t="s">
        <v>24</v>
      </c>
      <c r="G4" s="13" t="s">
        <v>24</v>
      </c>
    </row>
    <row r="5" spans="2:7" x14ac:dyDescent="0.3">
      <c r="B5" s="9" t="s">
        <v>28</v>
      </c>
      <c r="C5" s="9"/>
      <c r="D5" s="7"/>
      <c r="E5" s="7"/>
      <c r="F5" s="7"/>
      <c r="G5" s="7"/>
    </row>
    <row r="6" spans="2:7" outlineLevel="1" x14ac:dyDescent="0.3">
      <c r="B6" s="8"/>
      <c r="C6" s="8" t="s">
        <v>35</v>
      </c>
      <c r="D6" s="16">
        <v>0.15</v>
      </c>
      <c r="E6" s="17">
        <v>-0.15</v>
      </c>
      <c r="F6" s="17">
        <v>0</v>
      </c>
      <c r="G6" s="17">
        <v>0.15</v>
      </c>
    </row>
    <row r="7" spans="2:7" x14ac:dyDescent="0.3">
      <c r="B7" s="9" t="s">
        <v>30</v>
      </c>
      <c r="C7" s="9"/>
      <c r="D7" s="7"/>
      <c r="E7" s="7"/>
      <c r="F7" s="7"/>
      <c r="G7" s="7"/>
    </row>
    <row r="8" spans="2:7" ht="15" outlineLevel="1" thickBot="1" x14ac:dyDescent="0.35">
      <c r="B8" s="10"/>
      <c r="C8" s="10" t="s">
        <v>36</v>
      </c>
      <c r="D8" s="4">
        <v>352000</v>
      </c>
      <c r="E8" s="4">
        <v>352000</v>
      </c>
      <c r="F8" s="4">
        <v>352000</v>
      </c>
      <c r="G8" s="4">
        <v>352000</v>
      </c>
    </row>
    <row r="9" spans="2:7" x14ac:dyDescent="0.3">
      <c r="B9" t="s">
        <v>31</v>
      </c>
    </row>
    <row r="10" spans="2:7" x14ac:dyDescent="0.3">
      <c r="B10" t="s">
        <v>32</v>
      </c>
    </row>
    <row r="11" spans="2:7" x14ac:dyDescent="0.3">
      <c r="B1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4855-2AF2-4AEF-870C-B881701C41DF}">
  <sheetPr codeName="Hoja2"/>
  <dimension ref="A2:I13"/>
  <sheetViews>
    <sheetView workbookViewId="0">
      <selection activeCell="A3" sqref="A3"/>
    </sheetView>
  </sheetViews>
  <sheetFormatPr baseColWidth="10" defaultRowHeight="14.4" x14ac:dyDescent="0.3"/>
  <cols>
    <col min="1" max="1" width="11.77734375" bestFit="1" customWidth="1"/>
    <col min="2" max="2" width="11.109375" bestFit="1" customWidth="1"/>
    <col min="3" max="3" width="15.5546875" bestFit="1" customWidth="1"/>
    <col min="4" max="4" width="14.21875" bestFit="1" customWidth="1"/>
    <col min="5" max="6" width="17.88671875" bestFit="1" customWidth="1"/>
    <col min="7" max="7" width="25.77734375" customWidth="1"/>
    <col min="8" max="8" width="20.44140625" bestFit="1" customWidth="1"/>
  </cols>
  <sheetData>
    <row r="2" spans="1:9" x14ac:dyDescent="0.3">
      <c r="H2" s="15" t="s">
        <v>34</v>
      </c>
      <c r="I2" s="14">
        <v>0.15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</row>
    <row r="4" spans="1:9" x14ac:dyDescent="0.3">
      <c r="A4" s="21">
        <v>30000</v>
      </c>
      <c r="B4" s="2">
        <v>18000</v>
      </c>
      <c r="C4" s="3">
        <v>0.4</v>
      </c>
      <c r="D4" s="21">
        <v>30000</v>
      </c>
      <c r="E4" s="26">
        <v>0</v>
      </c>
    </row>
    <row r="9" spans="1:9" x14ac:dyDescent="0.3">
      <c r="B9" s="22"/>
      <c r="G9" s="23" t="s">
        <v>37</v>
      </c>
      <c r="H9" s="24">
        <f>GETPIVOTDATA("[Measures].[Total Ventas]",$A$3)</f>
        <v>30000</v>
      </c>
    </row>
    <row r="10" spans="1:9" x14ac:dyDescent="0.3">
      <c r="B10" s="22"/>
      <c r="G10" s="23" t="s">
        <v>38</v>
      </c>
      <c r="H10" s="25">
        <f>GETPIVOTDATA("[Measures].[Margen Operativo]",$A$3)</f>
        <v>0.4</v>
      </c>
    </row>
    <row r="11" spans="1:9" x14ac:dyDescent="0.3">
      <c r="B11" s="22"/>
      <c r="G11" s="23" t="s">
        <v>39</v>
      </c>
      <c r="H11" s="25">
        <f>Variacion_Ventas</f>
        <v>0.15</v>
      </c>
    </row>
    <row r="12" spans="1:9" x14ac:dyDescent="0.3">
      <c r="G12" s="23" t="s">
        <v>40</v>
      </c>
      <c r="H12" s="24">
        <v>300000</v>
      </c>
    </row>
    <row r="13" spans="1:9" x14ac:dyDescent="0.3">
      <c r="G13" s="23" t="s">
        <v>41</v>
      </c>
      <c r="H13" s="25">
        <f>H9/H12</f>
        <v>0.1</v>
      </c>
    </row>
  </sheetData>
  <scenarios current="0" show="2" sqref="B5">
    <scenario name="Pesimista" locked="1" count="1" user="Nicolás Bonadies" comment="Creado por Nicolás Bonadies el 27/9/2026">
      <inputCells r="I2" val="-0,15"/>
    </scenario>
    <scenario name="Base" locked="1" count="1" user="Nicolás Bonadies" comment="Creado por Nicolás Bonadies el 27/9/2026">
      <inputCells r="I2" val="0"/>
    </scenario>
    <scenario name="Optimista" locked="1" count="1" user="Nicolás Bonadies" comment="Creado por Nicolás Bonadies el 27/9/2026">
      <inputCells r="I2" val="0,15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7BAE-0398-4D14-8672-51B006BA47DD}">
  <sheetPr codeName="Hoja3"/>
  <dimension ref="A1:E6"/>
  <sheetViews>
    <sheetView workbookViewId="0">
      <selection activeCell="E3" sqref="E3"/>
    </sheetView>
  </sheetViews>
  <sheetFormatPr baseColWidth="10" defaultRowHeight="14.4" x14ac:dyDescent="0.3"/>
  <cols>
    <col min="1" max="1" width="12.6640625" customWidth="1"/>
    <col min="2" max="2" width="18" customWidth="1"/>
    <col min="3" max="3" width="13.6640625" customWidth="1"/>
    <col min="5" max="5" width="12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t="s">
        <v>43</v>
      </c>
      <c r="E1" s="1" t="s">
        <v>42</v>
      </c>
    </row>
    <row r="2" spans="1:5" x14ac:dyDescent="0.3">
      <c r="A2" t="s">
        <v>3</v>
      </c>
      <c r="B2" t="s">
        <v>4</v>
      </c>
      <c r="C2" t="s">
        <v>5</v>
      </c>
      <c r="D2" t="s">
        <v>44</v>
      </c>
      <c r="E2" s="22">
        <v>120000</v>
      </c>
    </row>
    <row r="3" spans="1:5" x14ac:dyDescent="0.3">
      <c r="A3" t="s">
        <v>6</v>
      </c>
      <c r="B3" t="s">
        <v>7</v>
      </c>
      <c r="C3" t="s">
        <v>8</v>
      </c>
      <c r="D3" t="s">
        <v>44</v>
      </c>
      <c r="E3" s="22">
        <v>80000</v>
      </c>
    </row>
    <row r="4" spans="1:5" x14ac:dyDescent="0.3">
      <c r="A4" t="s">
        <v>9</v>
      </c>
      <c r="B4" t="s">
        <v>10</v>
      </c>
      <c r="C4" t="s">
        <v>11</v>
      </c>
      <c r="D4" t="s">
        <v>44</v>
      </c>
      <c r="E4" s="22">
        <v>65000</v>
      </c>
    </row>
    <row r="5" spans="1:5" x14ac:dyDescent="0.3">
      <c r="A5" t="s">
        <v>12</v>
      </c>
      <c r="B5" t="s">
        <v>13</v>
      </c>
      <c r="C5" t="s">
        <v>14</v>
      </c>
      <c r="D5" t="s">
        <v>44</v>
      </c>
      <c r="E5" s="22">
        <v>50000</v>
      </c>
    </row>
    <row r="6" spans="1:5" x14ac:dyDescent="0.3">
      <c r="A6" t="s">
        <v>15</v>
      </c>
      <c r="B6" t="s">
        <v>16</v>
      </c>
      <c r="C6" t="s">
        <v>17</v>
      </c>
      <c r="D6" t="s">
        <v>44</v>
      </c>
      <c r="E6" s="22">
        <v>37000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5A256D0-435F-487B-AC9C-525A02F18425}">
  <ds:schemaRefs/>
</ds:datastoreItem>
</file>

<file path=customXml/itemProps2.xml><?xml version="1.0" encoding="utf-8"?>
<ds:datastoreItem xmlns:ds="http://schemas.openxmlformats.org/officeDocument/2006/customXml" ds:itemID="{96FB83E3-88D4-4674-941B-04CEFF98D18E}">
  <ds:schemaRefs/>
</ds:datastoreItem>
</file>

<file path=customXml/itemProps3.xml><?xml version="1.0" encoding="utf-8"?>
<ds:datastoreItem xmlns:ds="http://schemas.openxmlformats.org/officeDocument/2006/customXml" ds:itemID="{E032F06E-7993-437A-9D4E-A6CCA2853CAB}">
  <ds:schemaRefs/>
</ds:datastoreItem>
</file>

<file path=customXml/itemProps4.xml><?xml version="1.0" encoding="utf-8"?>
<ds:datastoreItem xmlns:ds="http://schemas.openxmlformats.org/officeDocument/2006/customXml" ds:itemID="{12300744-3F28-4E3F-BFD8-22864FEC72B4}">
  <ds:schemaRefs/>
</ds:datastoreItem>
</file>

<file path=customXml/itemProps5.xml><?xml version="1.0" encoding="utf-8"?>
<ds:datastoreItem xmlns:ds="http://schemas.openxmlformats.org/officeDocument/2006/customXml" ds:itemID="{217D623B-CD61-4E66-83F9-18756A9FF07B}">
  <ds:schemaRefs/>
</ds:datastoreItem>
</file>

<file path=customXml/itemProps6.xml><?xml version="1.0" encoding="utf-8"?>
<ds:datastoreItem xmlns:ds="http://schemas.openxmlformats.org/officeDocument/2006/customXml" ds:itemID="{1A05577C-2D54-4644-9B00-A6203EF5F88B}">
  <ds:schemaRefs/>
</ds:datastoreItem>
</file>

<file path=customXml/itemProps7.xml><?xml version="1.0" encoding="utf-8"?>
<ds:datastoreItem xmlns:ds="http://schemas.openxmlformats.org/officeDocument/2006/customXml" ds:itemID="{D7A53658-9B3F-49A8-A8C1-3822A8AA99A2}">
  <ds:schemaRefs/>
</ds:datastoreItem>
</file>

<file path=customXml/itemProps8.xml><?xml version="1.0" encoding="utf-8"?>
<ds:datastoreItem xmlns:ds="http://schemas.openxmlformats.org/officeDocument/2006/customXml" ds:itemID="{A6A311D8-91B6-4A63-A8BB-6301684AB4D9}">
  <ds:schemaRefs/>
</ds:datastoreItem>
</file>

<file path=customXml/itemProps9.xml><?xml version="1.0" encoding="utf-8"?>
<ds:datastoreItem xmlns:ds="http://schemas.openxmlformats.org/officeDocument/2006/customXml" ds:itemID="{65C67479-367E-4381-A451-2BB9C4E18CDE}">
  <ds:schemaRefs/>
</ds:datastoreItem>
</file>

<file path=customXml/itemProps10.xml><?xml version="1.0" encoding="utf-8"?>
<ds:datastoreItem xmlns:ds="http://schemas.openxmlformats.org/officeDocument/2006/customXml" ds:itemID="{E5A987A0-923A-458D-B7D5-B4BCB883536B}">
  <ds:schemaRefs/>
</ds:datastoreItem>
</file>

<file path=customXml/itemProps11.xml><?xml version="1.0" encoding="utf-8"?>
<ds:datastoreItem xmlns:ds="http://schemas.openxmlformats.org/officeDocument/2006/customXml" ds:itemID="{94479EEA-DE6A-4EDD-B13E-AB9B24503812}">
  <ds:schemaRefs/>
</ds:datastoreItem>
</file>

<file path=customXml/itemProps12.xml><?xml version="1.0" encoding="utf-8"?>
<ds:datastoreItem xmlns:ds="http://schemas.openxmlformats.org/officeDocument/2006/customXml" ds:itemID="{07C1D4A3-94E8-4685-A6DE-8C8BE6E5F002}">
  <ds:schemaRefs/>
</ds:datastoreItem>
</file>

<file path=customXml/itemProps13.xml><?xml version="1.0" encoding="utf-8"?>
<ds:datastoreItem xmlns:ds="http://schemas.openxmlformats.org/officeDocument/2006/customXml" ds:itemID="{5A816200-F703-4AE7-A05F-2591F7056318}">
  <ds:schemaRefs/>
</ds:datastoreItem>
</file>

<file path=customXml/itemProps14.xml><?xml version="1.0" encoding="utf-8"?>
<ds:datastoreItem xmlns:ds="http://schemas.openxmlformats.org/officeDocument/2006/customXml" ds:itemID="{E63F1947-9745-46A1-A785-84C5F80DEFA9}">
  <ds:schemaRefs/>
</ds:datastoreItem>
</file>

<file path=customXml/itemProps15.xml><?xml version="1.0" encoding="utf-8"?>
<ds:datastoreItem xmlns:ds="http://schemas.openxmlformats.org/officeDocument/2006/customXml" ds:itemID="{2A0F1B05-57EC-453B-9DBF-BC105FBD2327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E109F116-227D-4E30-9FE1-6BEDB1F58812}">
  <ds:schemaRefs/>
</ds:datastoreItem>
</file>

<file path=customXml/itemProps17.xml><?xml version="1.0" encoding="utf-8"?>
<ds:datastoreItem xmlns:ds="http://schemas.openxmlformats.org/officeDocument/2006/customXml" ds:itemID="{F00E8AD6-CC11-4A3D-BDBE-5CC875291F6E}">
  <ds:schemaRefs/>
</ds:datastoreItem>
</file>

<file path=customXml/itemProps18.xml><?xml version="1.0" encoding="utf-8"?>
<ds:datastoreItem xmlns:ds="http://schemas.openxmlformats.org/officeDocument/2006/customXml" ds:itemID="{DA285C18-E520-4D71-BB6C-D0A6BCB2FF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Dashboard Final</vt:lpstr>
      <vt:lpstr>Resumen del escenario </vt:lpstr>
      <vt:lpstr>Análisis_Estadistico</vt:lpstr>
      <vt:lpstr>DimClientes</vt:lpstr>
      <vt:lpstr>Total_Ventas</vt:lpstr>
      <vt:lpstr>Variacion_Ventas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Bonadies</dc:creator>
  <cp:lastModifiedBy>Nicolás Bonadies</cp:lastModifiedBy>
  <dcterms:created xsi:type="dcterms:W3CDTF">2026-09-25T19:24:51Z</dcterms:created>
  <dcterms:modified xsi:type="dcterms:W3CDTF">2026-09-29T22:55:59Z</dcterms:modified>
</cp:coreProperties>
</file>